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Op !\ressources\"/>
    </mc:Choice>
  </mc:AlternateContent>
  <xr:revisionPtr revIDLastSave="0" documentId="8_{C6D002C1-37B1-4E90-9D61-37EC0C93253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Mode d'emploi" sheetId="1" r:id="rId1"/>
    <sheet name="Synthèse annuelle" sheetId="2" r:id="rId2"/>
    <sheet name="Transactions" sheetId="3" r:id="rId3"/>
    <sheet name="_Listes" sheetId="4" state="hidden" r:id="rId4"/>
    <sheet name="Janvier" sheetId="5" r:id="rId5"/>
    <sheet name="Février" sheetId="6" r:id="rId6"/>
    <sheet name="Mars" sheetId="7" r:id="rId7"/>
    <sheet name="Avril" sheetId="8" r:id="rId8"/>
    <sheet name="Mai" sheetId="9" r:id="rId9"/>
    <sheet name="Juin" sheetId="10" r:id="rId10"/>
    <sheet name="Juillet" sheetId="11" r:id="rId11"/>
    <sheet name="Août" sheetId="12" r:id="rId12"/>
    <sheet name="Septembre" sheetId="13" r:id="rId13"/>
    <sheet name="Octobre" sheetId="14" r:id="rId14"/>
    <sheet name="Novembre" sheetId="15" r:id="rId15"/>
    <sheet name="Décembre" sheetId="16" r:id="rId16"/>
    <sheet name="Mes objectifs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" i="2" l="1"/>
  <c r="F8" i="2"/>
  <c r="F18" i="17"/>
  <c r="E18" i="17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C64" i="16"/>
  <c r="C71" i="16" s="1"/>
  <c r="D63" i="16"/>
  <c r="E63" i="16" s="1"/>
  <c r="E62" i="16"/>
  <c r="D62" i="16"/>
  <c r="E61" i="16"/>
  <c r="D61" i="16"/>
  <c r="C54" i="16"/>
  <c r="C70" i="16" s="1"/>
  <c r="E53" i="16"/>
  <c r="D53" i="16"/>
  <c r="E52" i="16"/>
  <c r="D52" i="16"/>
  <c r="E51" i="16"/>
  <c r="D51" i="16"/>
  <c r="E50" i="16"/>
  <c r="D50" i="16"/>
  <c r="E49" i="16"/>
  <c r="D49" i="16"/>
  <c r="E48" i="16"/>
  <c r="D48" i="16"/>
  <c r="C36" i="16"/>
  <c r="C69" i="16" s="1"/>
  <c r="D35" i="16"/>
  <c r="E35" i="16" s="1"/>
  <c r="D34" i="16"/>
  <c r="E34" i="16" s="1"/>
  <c r="E33" i="16"/>
  <c r="D33" i="16"/>
  <c r="D32" i="16"/>
  <c r="E32" i="16" s="1"/>
  <c r="D31" i="16"/>
  <c r="E31" i="16" s="1"/>
  <c r="D30" i="16"/>
  <c r="E30" i="16" s="1"/>
  <c r="C15" i="16"/>
  <c r="C68" i="16" s="1"/>
  <c r="D14" i="16"/>
  <c r="E14" i="16" s="1"/>
  <c r="E13" i="16"/>
  <c r="D13" i="16"/>
  <c r="E12" i="16"/>
  <c r="D12" i="16"/>
  <c r="C71" i="15"/>
  <c r="C68" i="15"/>
  <c r="C64" i="15"/>
  <c r="D63" i="15"/>
  <c r="E63" i="15" s="1"/>
  <c r="E62" i="15"/>
  <c r="D62" i="15"/>
  <c r="E61" i="15"/>
  <c r="D61" i="15"/>
  <c r="C54" i="15"/>
  <c r="C70" i="15" s="1"/>
  <c r="E53" i="15"/>
  <c r="D53" i="15"/>
  <c r="D52" i="15"/>
  <c r="E52" i="15" s="1"/>
  <c r="E51" i="15"/>
  <c r="D51" i="15"/>
  <c r="D50" i="15"/>
  <c r="E50" i="15" s="1"/>
  <c r="D49" i="15"/>
  <c r="E49" i="15" s="1"/>
  <c r="D48" i="15"/>
  <c r="E48" i="15" s="1"/>
  <c r="C36" i="15"/>
  <c r="C69" i="15" s="1"/>
  <c r="E35" i="15"/>
  <c r="D35" i="15"/>
  <c r="E34" i="15"/>
  <c r="D34" i="15"/>
  <c r="E33" i="15"/>
  <c r="D33" i="15"/>
  <c r="D32" i="15"/>
  <c r="E32" i="15" s="1"/>
  <c r="E31" i="15"/>
  <c r="D31" i="15"/>
  <c r="E30" i="15"/>
  <c r="D30" i="15"/>
  <c r="C15" i="15"/>
  <c r="D14" i="15"/>
  <c r="E14" i="15" s="1"/>
  <c r="D13" i="15"/>
  <c r="E13" i="15" s="1"/>
  <c r="E12" i="15"/>
  <c r="D12" i="15"/>
  <c r="C71" i="14"/>
  <c r="C64" i="14"/>
  <c r="E63" i="14"/>
  <c r="D63" i="14"/>
  <c r="D62" i="14"/>
  <c r="E62" i="14" s="1"/>
  <c r="E61" i="14"/>
  <c r="D61" i="14"/>
  <c r="C54" i="14"/>
  <c r="C70" i="14" s="1"/>
  <c r="E53" i="14"/>
  <c r="D53" i="14"/>
  <c r="E52" i="14"/>
  <c r="D52" i="14"/>
  <c r="E51" i="14"/>
  <c r="D51" i="14"/>
  <c r="D50" i="14"/>
  <c r="E50" i="14" s="1"/>
  <c r="E49" i="14"/>
  <c r="D49" i="14"/>
  <c r="E48" i="14"/>
  <c r="D48" i="14"/>
  <c r="C36" i="14"/>
  <c r="C69" i="14" s="1"/>
  <c r="D35" i="14"/>
  <c r="E35" i="14" s="1"/>
  <c r="E34" i="14"/>
  <c r="D34" i="14"/>
  <c r="D33" i="14"/>
  <c r="E33" i="14" s="1"/>
  <c r="D32" i="14"/>
  <c r="E32" i="14" s="1"/>
  <c r="D31" i="14"/>
  <c r="E31" i="14" s="1"/>
  <c r="E30" i="14"/>
  <c r="D30" i="14"/>
  <c r="C15" i="14"/>
  <c r="C68" i="14" s="1"/>
  <c r="C72" i="14" s="1"/>
  <c r="E14" i="14"/>
  <c r="D14" i="14"/>
  <c r="E13" i="14"/>
  <c r="D13" i="14"/>
  <c r="D12" i="14"/>
  <c r="E12" i="14" s="1"/>
  <c r="C64" i="13"/>
  <c r="C71" i="13" s="1"/>
  <c r="E63" i="13"/>
  <c r="D63" i="13"/>
  <c r="E62" i="13"/>
  <c r="D62" i="13"/>
  <c r="D61" i="13"/>
  <c r="E61" i="13" s="1"/>
  <c r="C54" i="13"/>
  <c r="C70" i="13" s="1"/>
  <c r="D53" i="13"/>
  <c r="E53" i="13" s="1"/>
  <c r="E52" i="13"/>
  <c r="D52" i="13"/>
  <c r="D51" i="13"/>
  <c r="E51" i="13" s="1"/>
  <c r="E50" i="13"/>
  <c r="D50" i="13"/>
  <c r="E49" i="13"/>
  <c r="D49" i="13"/>
  <c r="E48" i="13"/>
  <c r="D48" i="13"/>
  <c r="C36" i="13"/>
  <c r="C69" i="13" s="1"/>
  <c r="E35" i="13"/>
  <c r="D35" i="13"/>
  <c r="D34" i="13"/>
  <c r="E34" i="13" s="1"/>
  <c r="D33" i="13"/>
  <c r="E33" i="13" s="1"/>
  <c r="D32" i="13"/>
  <c r="E32" i="13" s="1"/>
  <c r="E31" i="13"/>
  <c r="D31" i="13"/>
  <c r="D30" i="13"/>
  <c r="E30" i="13" s="1"/>
  <c r="C15" i="13"/>
  <c r="C68" i="13" s="1"/>
  <c r="D14" i="13"/>
  <c r="E14" i="13" s="1"/>
  <c r="E13" i="13"/>
  <c r="D13" i="13"/>
  <c r="D12" i="13"/>
  <c r="E12" i="13" s="1"/>
  <c r="C69" i="12"/>
  <c r="C64" i="12"/>
  <c r="C71" i="12" s="1"/>
  <c r="E63" i="12"/>
  <c r="D63" i="12"/>
  <c r="E62" i="12"/>
  <c r="D62" i="12"/>
  <c r="D61" i="12"/>
  <c r="E61" i="12" s="1"/>
  <c r="C54" i="12"/>
  <c r="C70" i="12" s="1"/>
  <c r="E53" i="12"/>
  <c r="D53" i="12"/>
  <c r="D52" i="12"/>
  <c r="E52" i="12" s="1"/>
  <c r="E51" i="12"/>
  <c r="D51" i="12"/>
  <c r="D50" i="12"/>
  <c r="E50" i="12" s="1"/>
  <c r="E49" i="12"/>
  <c r="D49" i="12"/>
  <c r="D48" i="12"/>
  <c r="E48" i="12" s="1"/>
  <c r="C36" i="12"/>
  <c r="E35" i="12"/>
  <c r="D35" i="12"/>
  <c r="D34" i="12"/>
  <c r="E34" i="12" s="1"/>
  <c r="D33" i="12"/>
  <c r="E33" i="12" s="1"/>
  <c r="E32" i="12"/>
  <c r="D32" i="12"/>
  <c r="E31" i="12"/>
  <c r="D31" i="12"/>
  <c r="D30" i="12"/>
  <c r="E30" i="12" s="1"/>
  <c r="C15" i="12"/>
  <c r="C68" i="12" s="1"/>
  <c r="E14" i="12"/>
  <c r="D14" i="12"/>
  <c r="D13" i="12"/>
  <c r="E13" i="12" s="1"/>
  <c r="D12" i="12"/>
  <c r="E12" i="12" s="1"/>
  <c r="C64" i="11"/>
  <c r="C71" i="11" s="1"/>
  <c r="E63" i="11"/>
  <c r="D63" i="11"/>
  <c r="D62" i="11"/>
  <c r="E62" i="11" s="1"/>
  <c r="E61" i="11"/>
  <c r="D61" i="11"/>
  <c r="C54" i="11"/>
  <c r="C70" i="11" s="1"/>
  <c r="E53" i="11"/>
  <c r="D53" i="11"/>
  <c r="D52" i="11"/>
  <c r="E52" i="11" s="1"/>
  <c r="E51" i="11"/>
  <c r="D51" i="11"/>
  <c r="D50" i="11"/>
  <c r="E50" i="11" s="1"/>
  <c r="E49" i="11"/>
  <c r="D49" i="11"/>
  <c r="D48" i="11"/>
  <c r="E48" i="11" s="1"/>
  <c r="C36" i="11"/>
  <c r="C69" i="11" s="1"/>
  <c r="D35" i="11"/>
  <c r="E35" i="11" s="1"/>
  <c r="D34" i="11"/>
  <c r="E34" i="11" s="1"/>
  <c r="D33" i="11"/>
  <c r="E33" i="11" s="1"/>
  <c r="E32" i="11"/>
  <c r="D32" i="11"/>
  <c r="D31" i="11"/>
  <c r="E31" i="11" s="1"/>
  <c r="E30" i="11"/>
  <c r="D30" i="11"/>
  <c r="C15" i="11"/>
  <c r="C68" i="11" s="1"/>
  <c r="E14" i="11"/>
  <c r="D14" i="11"/>
  <c r="D13" i="11"/>
  <c r="E13" i="11" s="1"/>
  <c r="D12" i="11"/>
  <c r="E12" i="11" s="1"/>
  <c r="C71" i="10"/>
  <c r="C70" i="10"/>
  <c r="C68" i="10"/>
  <c r="C64" i="10"/>
  <c r="E63" i="10"/>
  <c r="D63" i="10"/>
  <c r="D62" i="10"/>
  <c r="E62" i="10" s="1"/>
  <c r="E61" i="10"/>
  <c r="D61" i="10"/>
  <c r="C54" i="10"/>
  <c r="D53" i="10"/>
  <c r="E53" i="10" s="1"/>
  <c r="E52" i="10"/>
  <c r="D52" i="10"/>
  <c r="E51" i="10"/>
  <c r="D51" i="10"/>
  <c r="E50" i="10"/>
  <c r="D50" i="10"/>
  <c r="D49" i="10"/>
  <c r="E49" i="10" s="1"/>
  <c r="D48" i="10"/>
  <c r="E48" i="10" s="1"/>
  <c r="C36" i="10"/>
  <c r="C69" i="10" s="1"/>
  <c r="D35" i="10"/>
  <c r="E35" i="10" s="1"/>
  <c r="E34" i="10"/>
  <c r="D34" i="10"/>
  <c r="E33" i="10"/>
  <c r="D33" i="10"/>
  <c r="E32" i="10"/>
  <c r="D32" i="10"/>
  <c r="D31" i="10"/>
  <c r="E31" i="10" s="1"/>
  <c r="D30" i="10"/>
  <c r="E30" i="10" s="1"/>
  <c r="C15" i="10"/>
  <c r="D14" i="10"/>
  <c r="E14" i="10" s="1"/>
  <c r="E13" i="10"/>
  <c r="D13" i="10"/>
  <c r="D12" i="10"/>
  <c r="E12" i="10" s="1"/>
  <c r="C71" i="9"/>
  <c r="C70" i="9"/>
  <c r="C68" i="9"/>
  <c r="C64" i="9"/>
  <c r="D63" i="9"/>
  <c r="E63" i="9" s="1"/>
  <c r="E62" i="9"/>
  <c r="D62" i="9"/>
  <c r="E61" i="9"/>
  <c r="D61" i="9"/>
  <c r="C54" i="9"/>
  <c r="D53" i="9"/>
  <c r="E53" i="9" s="1"/>
  <c r="D52" i="9"/>
  <c r="E52" i="9" s="1"/>
  <c r="E51" i="9"/>
  <c r="D51" i="9"/>
  <c r="E50" i="9"/>
  <c r="D50" i="9"/>
  <c r="D49" i="9"/>
  <c r="E49" i="9" s="1"/>
  <c r="D48" i="9"/>
  <c r="E48" i="9" s="1"/>
  <c r="C36" i="9"/>
  <c r="C69" i="9" s="1"/>
  <c r="E35" i="9"/>
  <c r="D35" i="9"/>
  <c r="E34" i="9"/>
  <c r="D34" i="9"/>
  <c r="D33" i="9"/>
  <c r="E33" i="9" s="1"/>
  <c r="D32" i="9"/>
  <c r="E32" i="9" s="1"/>
  <c r="E31" i="9"/>
  <c r="D31" i="9"/>
  <c r="E30" i="9"/>
  <c r="D30" i="9"/>
  <c r="C15" i="9"/>
  <c r="E14" i="9"/>
  <c r="D14" i="9"/>
  <c r="D13" i="9"/>
  <c r="E13" i="9" s="1"/>
  <c r="E12" i="9"/>
  <c r="D12" i="9"/>
  <c r="C71" i="8"/>
  <c r="C70" i="8"/>
  <c r="C64" i="8"/>
  <c r="D63" i="8"/>
  <c r="E63" i="8" s="1"/>
  <c r="D62" i="8"/>
  <c r="E62" i="8" s="1"/>
  <c r="D61" i="8"/>
  <c r="E61" i="8" s="1"/>
  <c r="C54" i="8"/>
  <c r="E53" i="8"/>
  <c r="D53" i="8"/>
  <c r="E52" i="8"/>
  <c r="D52" i="8"/>
  <c r="D51" i="8"/>
  <c r="E51" i="8" s="1"/>
  <c r="D50" i="8"/>
  <c r="E50" i="8" s="1"/>
  <c r="E49" i="8"/>
  <c r="D49" i="8"/>
  <c r="E48" i="8"/>
  <c r="D48" i="8"/>
  <c r="C36" i="8"/>
  <c r="C69" i="8" s="1"/>
  <c r="D35" i="8"/>
  <c r="E35" i="8" s="1"/>
  <c r="E34" i="8"/>
  <c r="D34" i="8"/>
  <c r="E33" i="8"/>
  <c r="D33" i="8"/>
  <c r="E32" i="8"/>
  <c r="D32" i="8"/>
  <c r="D31" i="8"/>
  <c r="E31" i="8" s="1"/>
  <c r="E30" i="8"/>
  <c r="D30" i="8"/>
  <c r="C15" i="8"/>
  <c r="C68" i="8" s="1"/>
  <c r="E14" i="8"/>
  <c r="D14" i="8"/>
  <c r="E13" i="8"/>
  <c r="D13" i="8"/>
  <c r="D12" i="8"/>
  <c r="E12" i="8" s="1"/>
  <c r="C71" i="7"/>
  <c r="C64" i="7"/>
  <c r="E63" i="7"/>
  <c r="D63" i="7"/>
  <c r="E62" i="7"/>
  <c r="D62" i="7"/>
  <c r="D61" i="7"/>
  <c r="E61" i="7" s="1"/>
  <c r="C54" i="7"/>
  <c r="C70" i="7" s="1"/>
  <c r="D53" i="7"/>
  <c r="E53" i="7" s="1"/>
  <c r="E52" i="7"/>
  <c r="D52" i="7"/>
  <c r="E51" i="7"/>
  <c r="D51" i="7"/>
  <c r="D50" i="7"/>
  <c r="E50" i="7" s="1"/>
  <c r="D49" i="7"/>
  <c r="E49" i="7" s="1"/>
  <c r="E48" i="7"/>
  <c r="D48" i="7"/>
  <c r="C36" i="7"/>
  <c r="C69" i="7" s="1"/>
  <c r="E35" i="7"/>
  <c r="D35" i="7"/>
  <c r="D34" i="7"/>
  <c r="E34" i="7" s="1"/>
  <c r="E33" i="7"/>
  <c r="D33" i="7"/>
  <c r="E32" i="7"/>
  <c r="D32" i="7"/>
  <c r="E31" i="7"/>
  <c r="D31" i="7"/>
  <c r="D30" i="7"/>
  <c r="E30" i="7" s="1"/>
  <c r="C15" i="7"/>
  <c r="C68" i="7" s="1"/>
  <c r="D14" i="7"/>
  <c r="E14" i="7" s="1"/>
  <c r="E13" i="7"/>
  <c r="D13" i="7"/>
  <c r="E12" i="7"/>
  <c r="D12" i="7"/>
  <c r="C71" i="6"/>
  <c r="C64" i="6"/>
  <c r="D63" i="6"/>
  <c r="E63" i="6" s="1"/>
  <c r="D62" i="6"/>
  <c r="E62" i="6" s="1"/>
  <c r="E61" i="6"/>
  <c r="D61" i="6"/>
  <c r="C54" i="6"/>
  <c r="C70" i="6" s="1"/>
  <c r="E53" i="6"/>
  <c r="D53" i="6"/>
  <c r="D52" i="6"/>
  <c r="E52" i="6" s="1"/>
  <c r="E51" i="6"/>
  <c r="D51" i="6"/>
  <c r="E50" i="6"/>
  <c r="D50" i="6"/>
  <c r="E49" i="6"/>
  <c r="D49" i="6"/>
  <c r="D48" i="6"/>
  <c r="E48" i="6" s="1"/>
  <c r="C36" i="6"/>
  <c r="C69" i="6" s="1"/>
  <c r="E35" i="6"/>
  <c r="D35" i="6"/>
  <c r="E34" i="6"/>
  <c r="D34" i="6"/>
  <c r="E33" i="6"/>
  <c r="D33" i="6"/>
  <c r="D32" i="6"/>
  <c r="E32" i="6" s="1"/>
  <c r="E31" i="6"/>
  <c r="D31" i="6"/>
  <c r="E30" i="6"/>
  <c r="D30" i="6"/>
  <c r="C15" i="6"/>
  <c r="C68" i="6" s="1"/>
  <c r="E14" i="6"/>
  <c r="D14" i="6"/>
  <c r="E13" i="6"/>
  <c r="D13" i="6"/>
  <c r="D12" i="6"/>
  <c r="E12" i="6" s="1"/>
  <c r="C71" i="5"/>
  <c r="C70" i="5"/>
  <c r="C64" i="5"/>
  <c r="E63" i="5"/>
  <c r="D63" i="5"/>
  <c r="D62" i="5"/>
  <c r="E62" i="5" s="1"/>
  <c r="D61" i="5"/>
  <c r="E61" i="5" s="1"/>
  <c r="C54" i="5"/>
  <c r="E53" i="5"/>
  <c r="D53" i="5"/>
  <c r="E52" i="5"/>
  <c r="D52" i="5"/>
  <c r="E51" i="5"/>
  <c r="D51" i="5"/>
  <c r="E50" i="5"/>
  <c r="D50" i="5"/>
  <c r="E49" i="5"/>
  <c r="D49" i="5"/>
  <c r="E48" i="5"/>
  <c r="D48" i="5"/>
  <c r="C36" i="5"/>
  <c r="C69" i="5" s="1"/>
  <c r="D35" i="5"/>
  <c r="E35" i="5" s="1"/>
  <c r="D34" i="5"/>
  <c r="E34" i="5" s="1"/>
  <c r="E33" i="5"/>
  <c r="D33" i="5"/>
  <c r="E32" i="5"/>
  <c r="D32" i="5"/>
  <c r="D31" i="5"/>
  <c r="E31" i="5" s="1"/>
  <c r="D30" i="5"/>
  <c r="E30" i="5" s="1"/>
  <c r="C15" i="5"/>
  <c r="C68" i="5" s="1"/>
  <c r="E14" i="5"/>
  <c r="D14" i="5"/>
  <c r="E13" i="5"/>
  <c r="D13" i="5"/>
  <c r="E12" i="5"/>
  <c r="D12" i="5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D10" i="7" s="1"/>
  <c r="E10" i="7" s="1"/>
  <c r="C72" i="5" l="1"/>
  <c r="D21" i="5"/>
  <c r="E21" i="5" s="1"/>
  <c r="D25" i="5"/>
  <c r="E25" i="5" s="1"/>
  <c r="D29" i="5"/>
  <c r="E29" i="5" s="1"/>
  <c r="D60" i="5"/>
  <c r="E60" i="5" s="1"/>
  <c r="D27" i="8"/>
  <c r="E27" i="8" s="1"/>
  <c r="C72" i="12"/>
  <c r="D8" i="5"/>
  <c r="D39" i="5"/>
  <c r="D43" i="5"/>
  <c r="E43" i="5" s="1"/>
  <c r="D47" i="5"/>
  <c r="E47" i="5" s="1"/>
  <c r="D22" i="6"/>
  <c r="E22" i="6" s="1"/>
  <c r="D41" i="7"/>
  <c r="E41" i="7" s="1"/>
  <c r="D58" i="8"/>
  <c r="E58" i="8" s="1"/>
  <c r="C72" i="13"/>
  <c r="D18" i="5"/>
  <c r="D22" i="5"/>
  <c r="E22" i="5" s="1"/>
  <c r="D26" i="5"/>
  <c r="E26" i="5" s="1"/>
  <c r="D57" i="5"/>
  <c r="D8" i="6"/>
  <c r="D18" i="6"/>
  <c r="C72" i="7"/>
  <c r="D45" i="7"/>
  <c r="E45" i="7" s="1"/>
  <c r="C72" i="11"/>
  <c r="D9" i="5"/>
  <c r="E9" i="5" s="1"/>
  <c r="D40" i="5"/>
  <c r="E40" i="5" s="1"/>
  <c r="D44" i="5"/>
  <c r="E44" i="5" s="1"/>
  <c r="D23" i="6"/>
  <c r="E23" i="6" s="1"/>
  <c r="D59" i="6"/>
  <c r="E59" i="6" s="1"/>
  <c r="D19" i="5"/>
  <c r="E19" i="5" s="1"/>
  <c r="D23" i="5"/>
  <c r="E23" i="5" s="1"/>
  <c r="D27" i="5"/>
  <c r="E27" i="5" s="1"/>
  <c r="D58" i="5"/>
  <c r="E58" i="5" s="1"/>
  <c r="D9" i="6"/>
  <c r="E9" i="6" s="1"/>
  <c r="D19" i="6"/>
  <c r="E19" i="6" s="1"/>
  <c r="D24" i="6"/>
  <c r="E24" i="6" s="1"/>
  <c r="D47" i="16"/>
  <c r="E47" i="16" s="1"/>
  <c r="D43" i="16"/>
  <c r="E43" i="16" s="1"/>
  <c r="D39" i="16"/>
  <c r="D8" i="16"/>
  <c r="D57" i="15"/>
  <c r="D26" i="15"/>
  <c r="E26" i="15" s="1"/>
  <c r="D22" i="15"/>
  <c r="E22" i="15" s="1"/>
  <c r="D18" i="15"/>
  <c r="D44" i="14"/>
  <c r="E44" i="14" s="1"/>
  <c r="D40" i="14"/>
  <c r="E40" i="14" s="1"/>
  <c r="D9" i="14"/>
  <c r="E9" i="14" s="1"/>
  <c r="D58" i="13"/>
  <c r="E58" i="13" s="1"/>
  <c r="D27" i="13"/>
  <c r="E27" i="13" s="1"/>
  <c r="D23" i="13"/>
  <c r="E23" i="13" s="1"/>
  <c r="D19" i="13"/>
  <c r="E19" i="13" s="1"/>
  <c r="D45" i="12"/>
  <c r="E45" i="12" s="1"/>
  <c r="D41" i="12"/>
  <c r="E41" i="12" s="1"/>
  <c r="D10" i="12"/>
  <c r="E10" i="12" s="1"/>
  <c r="D59" i="11"/>
  <c r="E59" i="11" s="1"/>
  <c r="D28" i="11"/>
  <c r="E28" i="11" s="1"/>
  <c r="D24" i="11"/>
  <c r="E24" i="11" s="1"/>
  <c r="D20" i="11"/>
  <c r="E20" i="11" s="1"/>
  <c r="D46" i="10"/>
  <c r="E46" i="10" s="1"/>
  <c r="D42" i="10"/>
  <c r="E42" i="10" s="1"/>
  <c r="D11" i="10"/>
  <c r="E11" i="10" s="1"/>
  <c r="D60" i="16"/>
  <c r="E60" i="16" s="1"/>
  <c r="D29" i="16"/>
  <c r="E29" i="16" s="1"/>
  <c r="D25" i="16"/>
  <c r="E25" i="16" s="1"/>
  <c r="D21" i="16"/>
  <c r="E21" i="16" s="1"/>
  <c r="D47" i="15"/>
  <c r="E47" i="15" s="1"/>
  <c r="D43" i="15"/>
  <c r="E43" i="15" s="1"/>
  <c r="D39" i="15"/>
  <c r="D8" i="15"/>
  <c r="D57" i="14"/>
  <c r="D26" i="14"/>
  <c r="E26" i="14" s="1"/>
  <c r="D22" i="14"/>
  <c r="E22" i="14" s="1"/>
  <c r="D18" i="14"/>
  <c r="D44" i="13"/>
  <c r="E44" i="13" s="1"/>
  <c r="D40" i="13"/>
  <c r="E40" i="13" s="1"/>
  <c r="D9" i="13"/>
  <c r="E9" i="13" s="1"/>
  <c r="D58" i="12"/>
  <c r="E58" i="12" s="1"/>
  <c r="D27" i="12"/>
  <c r="E27" i="12" s="1"/>
  <c r="D23" i="12"/>
  <c r="E23" i="12" s="1"/>
  <c r="D19" i="12"/>
  <c r="E19" i="12" s="1"/>
  <c r="D45" i="11"/>
  <c r="E45" i="11" s="1"/>
  <c r="D41" i="11"/>
  <c r="E41" i="11" s="1"/>
  <c r="D10" i="11"/>
  <c r="E10" i="11" s="1"/>
  <c r="D59" i="10"/>
  <c r="E59" i="10" s="1"/>
  <c r="D28" i="10"/>
  <c r="E28" i="10" s="1"/>
  <c r="D24" i="10"/>
  <c r="E24" i="10" s="1"/>
  <c r="D20" i="10"/>
  <c r="E20" i="10" s="1"/>
  <c r="D46" i="16"/>
  <c r="E46" i="16" s="1"/>
  <c r="D42" i="16"/>
  <c r="E42" i="16" s="1"/>
  <c r="D11" i="16"/>
  <c r="E11" i="16" s="1"/>
  <c r="D60" i="15"/>
  <c r="E60" i="15" s="1"/>
  <c r="D29" i="15"/>
  <c r="E29" i="15" s="1"/>
  <c r="D25" i="15"/>
  <c r="E25" i="15" s="1"/>
  <c r="D21" i="15"/>
  <c r="E21" i="15" s="1"/>
  <c r="D47" i="14"/>
  <c r="E47" i="14" s="1"/>
  <c r="D43" i="14"/>
  <c r="E43" i="14" s="1"/>
  <c r="D39" i="14"/>
  <c r="D8" i="14"/>
  <c r="D57" i="13"/>
  <c r="D26" i="13"/>
  <c r="E26" i="13" s="1"/>
  <c r="D22" i="13"/>
  <c r="E22" i="13" s="1"/>
  <c r="D18" i="13"/>
  <c r="D44" i="12"/>
  <c r="E44" i="12" s="1"/>
  <c r="D40" i="12"/>
  <c r="E40" i="12" s="1"/>
  <c r="D9" i="12"/>
  <c r="E9" i="12" s="1"/>
  <c r="D58" i="11"/>
  <c r="E58" i="11" s="1"/>
  <c r="D27" i="11"/>
  <c r="E27" i="11" s="1"/>
  <c r="D23" i="11"/>
  <c r="E23" i="11" s="1"/>
  <c r="D19" i="11"/>
  <c r="E19" i="11" s="1"/>
  <c r="D45" i="10"/>
  <c r="E45" i="10" s="1"/>
  <c r="D41" i="10"/>
  <c r="E41" i="10" s="1"/>
  <c r="D59" i="16"/>
  <c r="E59" i="16" s="1"/>
  <c r="D28" i="16"/>
  <c r="E28" i="16" s="1"/>
  <c r="D24" i="16"/>
  <c r="E24" i="16" s="1"/>
  <c r="D20" i="16"/>
  <c r="E20" i="16" s="1"/>
  <c r="D46" i="15"/>
  <c r="E46" i="15" s="1"/>
  <c r="D42" i="15"/>
  <c r="E42" i="15" s="1"/>
  <c r="D11" i="15"/>
  <c r="E11" i="15" s="1"/>
  <c r="D60" i="14"/>
  <c r="E60" i="14" s="1"/>
  <c r="D29" i="14"/>
  <c r="E29" i="14" s="1"/>
  <c r="D25" i="14"/>
  <c r="E25" i="14" s="1"/>
  <c r="D21" i="14"/>
  <c r="E21" i="14" s="1"/>
  <c r="D47" i="13"/>
  <c r="E47" i="13" s="1"/>
  <c r="D43" i="13"/>
  <c r="E43" i="13" s="1"/>
  <c r="D45" i="16"/>
  <c r="E45" i="16" s="1"/>
  <c r="D41" i="16"/>
  <c r="E41" i="16" s="1"/>
  <c r="D10" i="16"/>
  <c r="E10" i="16" s="1"/>
  <c r="D59" i="15"/>
  <c r="E59" i="15" s="1"/>
  <c r="D58" i="16"/>
  <c r="E58" i="16" s="1"/>
  <c r="D44" i="16"/>
  <c r="E44" i="16" s="1"/>
  <c r="D40" i="16"/>
  <c r="E40" i="16" s="1"/>
  <c r="D9" i="16"/>
  <c r="E9" i="16" s="1"/>
  <c r="D58" i="15"/>
  <c r="E58" i="15" s="1"/>
  <c r="D27" i="15"/>
  <c r="E27" i="15" s="1"/>
  <c r="D23" i="15"/>
  <c r="E23" i="15" s="1"/>
  <c r="D19" i="15"/>
  <c r="E19" i="15" s="1"/>
  <c r="D57" i="16"/>
  <c r="D26" i="16"/>
  <c r="E26" i="16" s="1"/>
  <c r="D22" i="16"/>
  <c r="E22" i="16" s="1"/>
  <c r="D18" i="16"/>
  <c r="D20" i="15"/>
  <c r="E20" i="15" s="1"/>
  <c r="D10" i="14"/>
  <c r="E10" i="14" s="1"/>
  <c r="D60" i="13"/>
  <c r="E60" i="13" s="1"/>
  <c r="D41" i="13"/>
  <c r="E41" i="13" s="1"/>
  <c r="D29" i="13"/>
  <c r="E29" i="13" s="1"/>
  <c r="D57" i="12"/>
  <c r="D29" i="12"/>
  <c r="E29" i="12" s="1"/>
  <c r="D22" i="12"/>
  <c r="E22" i="12" s="1"/>
  <c r="D57" i="11"/>
  <c r="D29" i="11"/>
  <c r="E29" i="11" s="1"/>
  <c r="D22" i="11"/>
  <c r="E22" i="11" s="1"/>
  <c r="D9" i="11"/>
  <c r="E9" i="11" s="1"/>
  <c r="D57" i="10"/>
  <c r="D27" i="10"/>
  <c r="E27" i="10" s="1"/>
  <c r="D57" i="9"/>
  <c r="D26" i="9"/>
  <c r="E26" i="9" s="1"/>
  <c r="D22" i="9"/>
  <c r="E22" i="9" s="1"/>
  <c r="D18" i="9"/>
  <c r="D44" i="8"/>
  <c r="E44" i="8" s="1"/>
  <c r="D40" i="8"/>
  <c r="E40" i="8" s="1"/>
  <c r="D9" i="8"/>
  <c r="E9" i="8" s="1"/>
  <c r="D58" i="7"/>
  <c r="E58" i="7" s="1"/>
  <c r="D27" i="7"/>
  <c r="E27" i="7" s="1"/>
  <c r="D23" i="7"/>
  <c r="E23" i="7" s="1"/>
  <c r="D19" i="7"/>
  <c r="E19" i="7" s="1"/>
  <c r="D45" i="6"/>
  <c r="E45" i="6" s="1"/>
  <c r="D41" i="6"/>
  <c r="E41" i="6" s="1"/>
  <c r="D10" i="6"/>
  <c r="E10" i="6" s="1"/>
  <c r="D45" i="15"/>
  <c r="E45" i="15" s="1"/>
  <c r="D59" i="14"/>
  <c r="E59" i="14" s="1"/>
  <c r="D45" i="14"/>
  <c r="E45" i="14" s="1"/>
  <c r="D24" i="14"/>
  <c r="E24" i="14" s="1"/>
  <c r="D39" i="13"/>
  <c r="D10" i="13"/>
  <c r="E10" i="13" s="1"/>
  <c r="D46" i="12"/>
  <c r="E46" i="12" s="1"/>
  <c r="D39" i="12"/>
  <c r="D46" i="11"/>
  <c r="E46" i="11" s="1"/>
  <c r="D39" i="11"/>
  <c r="D39" i="10"/>
  <c r="D21" i="10"/>
  <c r="E21" i="10" s="1"/>
  <c r="D9" i="10"/>
  <c r="E9" i="10" s="1"/>
  <c r="D47" i="9"/>
  <c r="E47" i="9" s="1"/>
  <c r="D43" i="9"/>
  <c r="E43" i="9" s="1"/>
  <c r="D39" i="9"/>
  <c r="D8" i="9"/>
  <c r="D57" i="8"/>
  <c r="D26" i="8"/>
  <c r="E26" i="8" s="1"/>
  <c r="D22" i="8"/>
  <c r="E22" i="8" s="1"/>
  <c r="D18" i="8"/>
  <c r="D44" i="7"/>
  <c r="E44" i="7" s="1"/>
  <c r="D40" i="7"/>
  <c r="E40" i="7" s="1"/>
  <c r="D9" i="7"/>
  <c r="E9" i="7" s="1"/>
  <c r="D58" i="6"/>
  <c r="E58" i="6" s="1"/>
  <c r="D27" i="6"/>
  <c r="E27" i="6" s="1"/>
  <c r="D44" i="15"/>
  <c r="E44" i="15" s="1"/>
  <c r="D28" i="15"/>
  <c r="E28" i="15" s="1"/>
  <c r="D10" i="15"/>
  <c r="E10" i="15" s="1"/>
  <c r="D58" i="14"/>
  <c r="E58" i="14" s="1"/>
  <c r="D59" i="13"/>
  <c r="E59" i="13" s="1"/>
  <c r="D46" i="13"/>
  <c r="E46" i="13" s="1"/>
  <c r="D28" i="13"/>
  <c r="E28" i="13" s="1"/>
  <c r="D21" i="13"/>
  <c r="E21" i="13" s="1"/>
  <c r="D8" i="13"/>
  <c r="D28" i="12"/>
  <c r="E28" i="12" s="1"/>
  <c r="D21" i="12"/>
  <c r="E21" i="12" s="1"/>
  <c r="D8" i="12"/>
  <c r="D44" i="11"/>
  <c r="E44" i="11" s="1"/>
  <c r="D21" i="11"/>
  <c r="E21" i="11" s="1"/>
  <c r="D8" i="11"/>
  <c r="D44" i="10"/>
  <c r="E44" i="10" s="1"/>
  <c r="D26" i="10"/>
  <c r="E26" i="10" s="1"/>
  <c r="D60" i="9"/>
  <c r="E60" i="9" s="1"/>
  <c r="D29" i="9"/>
  <c r="E29" i="9" s="1"/>
  <c r="D25" i="9"/>
  <c r="E25" i="9" s="1"/>
  <c r="D21" i="9"/>
  <c r="E21" i="9" s="1"/>
  <c r="D47" i="8"/>
  <c r="E47" i="8" s="1"/>
  <c r="D43" i="8"/>
  <c r="E43" i="8" s="1"/>
  <c r="D39" i="8"/>
  <c r="D8" i="8"/>
  <c r="D57" i="7"/>
  <c r="D26" i="7"/>
  <c r="E26" i="7" s="1"/>
  <c r="D22" i="7"/>
  <c r="E22" i="7" s="1"/>
  <c r="D18" i="7"/>
  <c r="D44" i="6"/>
  <c r="E44" i="6" s="1"/>
  <c r="D9" i="15"/>
  <c r="E9" i="15" s="1"/>
  <c r="D42" i="14"/>
  <c r="E42" i="14" s="1"/>
  <c r="D23" i="14"/>
  <c r="E23" i="14" s="1"/>
  <c r="D26" i="12"/>
  <c r="E26" i="12" s="1"/>
  <c r="D26" i="11"/>
  <c r="E26" i="11" s="1"/>
  <c r="D19" i="10"/>
  <c r="E19" i="10" s="1"/>
  <c r="D8" i="10"/>
  <c r="D46" i="9"/>
  <c r="E46" i="9" s="1"/>
  <c r="D42" i="9"/>
  <c r="E42" i="9" s="1"/>
  <c r="D11" i="9"/>
  <c r="E11" i="9" s="1"/>
  <c r="D60" i="8"/>
  <c r="E60" i="8" s="1"/>
  <c r="D29" i="8"/>
  <c r="E29" i="8" s="1"/>
  <c r="D25" i="8"/>
  <c r="E25" i="8" s="1"/>
  <c r="D21" i="8"/>
  <c r="E21" i="8" s="1"/>
  <c r="D47" i="7"/>
  <c r="E47" i="7" s="1"/>
  <c r="D43" i="7"/>
  <c r="E43" i="7" s="1"/>
  <c r="D39" i="7"/>
  <c r="D8" i="7"/>
  <c r="D57" i="6"/>
  <c r="D26" i="6"/>
  <c r="E26" i="6" s="1"/>
  <c r="D41" i="15"/>
  <c r="E41" i="15" s="1"/>
  <c r="D45" i="13"/>
  <c r="E45" i="13" s="1"/>
  <c r="D20" i="13"/>
  <c r="E20" i="13" s="1"/>
  <c r="D43" i="12"/>
  <c r="E43" i="12" s="1"/>
  <c r="D20" i="12"/>
  <c r="E20" i="12" s="1"/>
  <c r="D43" i="11"/>
  <c r="E43" i="11" s="1"/>
  <c r="D43" i="10"/>
  <c r="E43" i="10" s="1"/>
  <c r="D25" i="10"/>
  <c r="E25" i="10" s="1"/>
  <c r="D59" i="9"/>
  <c r="E59" i="9" s="1"/>
  <c r="D28" i="9"/>
  <c r="E28" i="9" s="1"/>
  <c r="D24" i="9"/>
  <c r="E24" i="9" s="1"/>
  <c r="D20" i="9"/>
  <c r="E20" i="9" s="1"/>
  <c r="D46" i="8"/>
  <c r="E46" i="8" s="1"/>
  <c r="D42" i="8"/>
  <c r="E42" i="8" s="1"/>
  <c r="D11" i="8"/>
  <c r="E11" i="8" s="1"/>
  <c r="D60" i="7"/>
  <c r="E60" i="7" s="1"/>
  <c r="D29" i="7"/>
  <c r="E29" i="7" s="1"/>
  <c r="D25" i="7"/>
  <c r="E25" i="7" s="1"/>
  <c r="D21" i="7"/>
  <c r="E21" i="7" s="1"/>
  <c r="D47" i="6"/>
  <c r="E47" i="6" s="1"/>
  <c r="D43" i="6"/>
  <c r="E43" i="6" s="1"/>
  <c r="D39" i="6"/>
  <c r="D27" i="16"/>
  <c r="E27" i="16" s="1"/>
  <c r="D40" i="15"/>
  <c r="E40" i="15" s="1"/>
  <c r="D24" i="15"/>
  <c r="E24" i="15" s="1"/>
  <c r="D41" i="14"/>
  <c r="E41" i="14" s="1"/>
  <c r="D28" i="14"/>
  <c r="E28" i="14" s="1"/>
  <c r="D20" i="14"/>
  <c r="E20" i="14" s="1"/>
  <c r="D25" i="13"/>
  <c r="E25" i="13" s="1"/>
  <c r="D60" i="12"/>
  <c r="E60" i="12" s="1"/>
  <c r="D25" i="12"/>
  <c r="E25" i="12" s="1"/>
  <c r="D18" i="12"/>
  <c r="D60" i="11"/>
  <c r="E60" i="11" s="1"/>
  <c r="D25" i="11"/>
  <c r="E25" i="11" s="1"/>
  <c r="D18" i="11"/>
  <c r="D60" i="10"/>
  <c r="E60" i="10" s="1"/>
  <c r="D23" i="10"/>
  <c r="E23" i="10" s="1"/>
  <c r="D18" i="10"/>
  <c r="D45" i="9"/>
  <c r="E45" i="9" s="1"/>
  <c r="D41" i="9"/>
  <c r="E41" i="9" s="1"/>
  <c r="D10" i="9"/>
  <c r="E10" i="9" s="1"/>
  <c r="D59" i="8"/>
  <c r="E59" i="8" s="1"/>
  <c r="D28" i="8"/>
  <c r="E28" i="8" s="1"/>
  <c r="D24" i="8"/>
  <c r="E24" i="8" s="1"/>
  <c r="D20" i="8"/>
  <c r="E20" i="8" s="1"/>
  <c r="D46" i="7"/>
  <c r="E46" i="7" s="1"/>
  <c r="D42" i="7"/>
  <c r="E42" i="7" s="1"/>
  <c r="D11" i="7"/>
  <c r="E11" i="7" s="1"/>
  <c r="D60" i="6"/>
  <c r="E60" i="6" s="1"/>
  <c r="D29" i="6"/>
  <c r="E29" i="6" s="1"/>
  <c r="D25" i="6"/>
  <c r="E25" i="6" s="1"/>
  <c r="D23" i="16"/>
  <c r="E23" i="16" s="1"/>
  <c r="D11" i="14"/>
  <c r="E11" i="14" s="1"/>
  <c r="D42" i="13"/>
  <c r="E42" i="13" s="1"/>
  <c r="D42" i="12"/>
  <c r="E42" i="12" s="1"/>
  <c r="D42" i="11"/>
  <c r="E42" i="11" s="1"/>
  <c r="D58" i="10"/>
  <c r="E58" i="10" s="1"/>
  <c r="D58" i="9"/>
  <c r="E58" i="9" s="1"/>
  <c r="D27" i="9"/>
  <c r="E27" i="9" s="1"/>
  <c r="D23" i="9"/>
  <c r="E23" i="9" s="1"/>
  <c r="D19" i="9"/>
  <c r="E19" i="9" s="1"/>
  <c r="D45" i="8"/>
  <c r="E45" i="8" s="1"/>
  <c r="D41" i="8"/>
  <c r="E41" i="8" s="1"/>
  <c r="D10" i="8"/>
  <c r="E10" i="8" s="1"/>
  <c r="D59" i="7"/>
  <c r="E59" i="7" s="1"/>
  <c r="D28" i="7"/>
  <c r="E28" i="7" s="1"/>
  <c r="D24" i="7"/>
  <c r="E24" i="7" s="1"/>
  <c r="D20" i="7"/>
  <c r="E20" i="7" s="1"/>
  <c r="D46" i="6"/>
  <c r="E46" i="6" s="1"/>
  <c r="D42" i="6"/>
  <c r="E42" i="6" s="1"/>
  <c r="D19" i="16"/>
  <c r="E19" i="16" s="1"/>
  <c r="D46" i="14"/>
  <c r="E46" i="14" s="1"/>
  <c r="D27" i="14"/>
  <c r="E27" i="14" s="1"/>
  <c r="D19" i="14"/>
  <c r="E19" i="14" s="1"/>
  <c r="D24" i="13"/>
  <c r="E24" i="13" s="1"/>
  <c r="D11" i="13"/>
  <c r="E11" i="13" s="1"/>
  <c r="D59" i="12"/>
  <c r="E59" i="12" s="1"/>
  <c r="D47" i="12"/>
  <c r="E47" i="12" s="1"/>
  <c r="D24" i="12"/>
  <c r="E24" i="12" s="1"/>
  <c r="D11" i="12"/>
  <c r="E11" i="12" s="1"/>
  <c r="D47" i="11"/>
  <c r="E47" i="11" s="1"/>
  <c r="D40" i="11"/>
  <c r="E40" i="11" s="1"/>
  <c r="D11" i="11"/>
  <c r="E11" i="11" s="1"/>
  <c r="D47" i="10"/>
  <c r="E47" i="10" s="1"/>
  <c r="D40" i="10"/>
  <c r="E40" i="10" s="1"/>
  <c r="D29" i="10"/>
  <c r="E29" i="10" s="1"/>
  <c r="D22" i="10"/>
  <c r="E22" i="10" s="1"/>
  <c r="D10" i="10"/>
  <c r="E10" i="10" s="1"/>
  <c r="D44" i="9"/>
  <c r="E44" i="9" s="1"/>
  <c r="D40" i="9"/>
  <c r="E40" i="9" s="1"/>
  <c r="D9" i="9"/>
  <c r="E9" i="9" s="1"/>
  <c r="D10" i="5"/>
  <c r="E10" i="5" s="1"/>
  <c r="D41" i="5"/>
  <c r="E41" i="5" s="1"/>
  <c r="D45" i="5"/>
  <c r="E45" i="5" s="1"/>
  <c r="D20" i="6"/>
  <c r="E20" i="6" s="1"/>
  <c r="D40" i="6"/>
  <c r="E40" i="6" s="1"/>
  <c r="C72" i="8"/>
  <c r="D20" i="5"/>
  <c r="E20" i="5" s="1"/>
  <c r="D24" i="5"/>
  <c r="E24" i="5" s="1"/>
  <c r="D28" i="5"/>
  <c r="E28" i="5" s="1"/>
  <c r="D59" i="5"/>
  <c r="E59" i="5" s="1"/>
  <c r="D19" i="8"/>
  <c r="E19" i="8" s="1"/>
  <c r="D11" i="5"/>
  <c r="E11" i="5" s="1"/>
  <c r="D42" i="5"/>
  <c r="E42" i="5" s="1"/>
  <c r="D46" i="5"/>
  <c r="E46" i="5" s="1"/>
  <c r="D11" i="6"/>
  <c r="E11" i="6" s="1"/>
  <c r="C72" i="6"/>
  <c r="D21" i="6"/>
  <c r="E21" i="6" s="1"/>
  <c r="D28" i="6"/>
  <c r="E28" i="6" s="1"/>
  <c r="D23" i="8"/>
  <c r="E23" i="8" s="1"/>
  <c r="C72" i="9"/>
  <c r="C72" i="15"/>
  <c r="C72" i="10"/>
  <c r="C72" i="16"/>
  <c r="E8" i="6" l="1"/>
  <c r="E15" i="6" s="1"/>
  <c r="D15" i="6"/>
  <c r="E18" i="8"/>
  <c r="E36" i="8" s="1"/>
  <c r="D36" i="8"/>
  <c r="E39" i="13"/>
  <c r="E54" i="13" s="1"/>
  <c r="D54" i="13"/>
  <c r="D64" i="11"/>
  <c r="E57" i="11"/>
  <c r="E64" i="11" s="1"/>
  <c r="E8" i="15"/>
  <c r="E15" i="15" s="1"/>
  <c r="D15" i="15"/>
  <c r="E57" i="5"/>
  <c r="E64" i="5" s="1"/>
  <c r="D64" i="5"/>
  <c r="D36" i="9"/>
  <c r="E18" i="9"/>
  <c r="E36" i="9" s="1"/>
  <c r="E18" i="13"/>
  <c r="E36" i="13" s="1"/>
  <c r="D36" i="13"/>
  <c r="E18" i="12"/>
  <c r="E36" i="12" s="1"/>
  <c r="D36" i="12"/>
  <c r="E57" i="7"/>
  <c r="E64" i="7" s="1"/>
  <c r="D64" i="7"/>
  <c r="D36" i="16"/>
  <c r="E18" i="16"/>
  <c r="E36" i="16" s="1"/>
  <c r="E39" i="15"/>
  <c r="E54" i="15" s="1"/>
  <c r="D54" i="15"/>
  <c r="D36" i="15"/>
  <c r="E18" i="15"/>
  <c r="E36" i="15" s="1"/>
  <c r="E57" i="14"/>
  <c r="E64" i="14" s="1"/>
  <c r="D64" i="14"/>
  <c r="E57" i="6"/>
  <c r="E64" i="6" s="1"/>
  <c r="D64" i="6"/>
  <c r="E8" i="8"/>
  <c r="E15" i="8" s="1"/>
  <c r="D15" i="8"/>
  <c r="E8" i="13"/>
  <c r="E15" i="13" s="1"/>
  <c r="D15" i="13"/>
  <c r="E39" i="10"/>
  <c r="E54" i="10" s="1"/>
  <c r="D54" i="10"/>
  <c r="D64" i="9"/>
  <c r="E57" i="9"/>
  <c r="E64" i="9" s="1"/>
  <c r="E57" i="13"/>
  <c r="E64" i="13" s="1"/>
  <c r="D64" i="13"/>
  <c r="E8" i="12"/>
  <c r="E15" i="12" s="1"/>
  <c r="D15" i="12"/>
  <c r="D36" i="10"/>
  <c r="E18" i="10"/>
  <c r="E36" i="10" s="1"/>
  <c r="E39" i="6"/>
  <c r="E54" i="6" s="1"/>
  <c r="D54" i="6"/>
  <c r="E8" i="7"/>
  <c r="E15" i="7" s="1"/>
  <c r="D15" i="7"/>
  <c r="E39" i="8"/>
  <c r="E54" i="8" s="1"/>
  <c r="D54" i="8"/>
  <c r="E57" i="8"/>
  <c r="E64" i="8" s="1"/>
  <c r="D64" i="8"/>
  <c r="E39" i="11"/>
  <c r="E54" i="11" s="1"/>
  <c r="D54" i="11"/>
  <c r="E57" i="12"/>
  <c r="E64" i="12" s="1"/>
  <c r="D64" i="12"/>
  <c r="E8" i="14"/>
  <c r="E15" i="14" s="1"/>
  <c r="D15" i="14"/>
  <c r="D36" i="5"/>
  <c r="E18" i="5"/>
  <c r="E36" i="5" s="1"/>
  <c r="E39" i="7"/>
  <c r="E54" i="7" s="1"/>
  <c r="D54" i="7"/>
  <c r="E8" i="11"/>
  <c r="E15" i="11" s="1"/>
  <c r="D15" i="11"/>
  <c r="E8" i="9"/>
  <c r="E15" i="9" s="1"/>
  <c r="D15" i="9"/>
  <c r="D64" i="10"/>
  <c r="E57" i="10"/>
  <c r="E64" i="10" s="1"/>
  <c r="D64" i="16"/>
  <c r="E57" i="16"/>
  <c r="E64" i="16" s="1"/>
  <c r="E39" i="14"/>
  <c r="E54" i="14" s="1"/>
  <c r="D54" i="14"/>
  <c r="E18" i="14"/>
  <c r="E36" i="14" s="1"/>
  <c r="D36" i="14"/>
  <c r="D64" i="15"/>
  <c r="E57" i="15"/>
  <c r="E64" i="15" s="1"/>
  <c r="E39" i="9"/>
  <c r="E54" i="9" s="1"/>
  <c r="D54" i="9"/>
  <c r="E39" i="12"/>
  <c r="E54" i="12" s="1"/>
  <c r="D54" i="12"/>
  <c r="D15" i="16"/>
  <c r="E8" i="16"/>
  <c r="E15" i="16" s="1"/>
  <c r="E39" i="5"/>
  <c r="E54" i="5" s="1"/>
  <c r="D54" i="5"/>
  <c r="D36" i="11"/>
  <c r="E18" i="11"/>
  <c r="E36" i="11" s="1"/>
  <c r="E8" i="10"/>
  <c r="E15" i="10" s="1"/>
  <c r="D15" i="10"/>
  <c r="E18" i="7"/>
  <c r="E36" i="7" s="1"/>
  <c r="D36" i="7"/>
  <c r="D54" i="16"/>
  <c r="E39" i="16"/>
  <c r="E54" i="16" s="1"/>
  <c r="D36" i="6"/>
  <c r="E18" i="6"/>
  <c r="E36" i="6" s="1"/>
  <c r="E8" i="5"/>
  <c r="E15" i="5" s="1"/>
  <c r="D15" i="5"/>
  <c r="D69" i="13" l="1"/>
  <c r="E69" i="13" s="1"/>
  <c r="K8" i="2"/>
  <c r="D68" i="14"/>
  <c r="L7" i="2"/>
  <c r="D70" i="8"/>
  <c r="E70" i="8" s="1"/>
  <c r="F9" i="2"/>
  <c r="D71" i="9"/>
  <c r="E71" i="9" s="1"/>
  <c r="G10" i="2"/>
  <c r="D71" i="11"/>
  <c r="E71" i="11" s="1"/>
  <c r="I10" i="2"/>
  <c r="D69" i="10"/>
  <c r="E69" i="10" s="1"/>
  <c r="H8" i="2"/>
  <c r="D70" i="14"/>
  <c r="E70" i="14" s="1"/>
  <c r="L9" i="2"/>
  <c r="D68" i="11"/>
  <c r="I7" i="2"/>
  <c r="D70" i="10"/>
  <c r="E70" i="10" s="1"/>
  <c r="H9" i="2"/>
  <c r="D71" i="14"/>
  <c r="E71" i="14" s="1"/>
  <c r="L10" i="2"/>
  <c r="D70" i="13"/>
  <c r="E70" i="13" s="1"/>
  <c r="K9" i="2"/>
  <c r="D70" i="15"/>
  <c r="E70" i="15" s="1"/>
  <c r="M9" i="2"/>
  <c r="D69" i="6"/>
  <c r="E69" i="6" s="1"/>
  <c r="D8" i="2"/>
  <c r="D71" i="12"/>
  <c r="E71" i="12" s="1"/>
  <c r="J10" i="2"/>
  <c r="D68" i="7"/>
  <c r="E7" i="2"/>
  <c r="E11" i="2" s="1"/>
  <c r="D68" i="12"/>
  <c r="J7" i="2"/>
  <c r="D69" i="16"/>
  <c r="E69" i="16" s="1"/>
  <c r="N8" i="2"/>
  <c r="D69" i="9"/>
  <c r="E69" i="9" s="1"/>
  <c r="G8" i="2"/>
  <c r="D69" i="5"/>
  <c r="E69" i="5" s="1"/>
  <c r="C8" i="2"/>
  <c r="D69" i="11"/>
  <c r="E69" i="11" s="1"/>
  <c r="I8" i="2"/>
  <c r="D69" i="7"/>
  <c r="E69" i="7" s="1"/>
  <c r="E8" i="2"/>
  <c r="D70" i="7"/>
  <c r="E70" i="7" s="1"/>
  <c r="E9" i="2"/>
  <c r="D68" i="13"/>
  <c r="K7" i="2"/>
  <c r="K11" i="2" s="1"/>
  <c r="D71" i="7"/>
  <c r="E71" i="7" s="1"/>
  <c r="E10" i="2"/>
  <c r="C10" i="2"/>
  <c r="D71" i="5"/>
  <c r="E71" i="5" s="1"/>
  <c r="D69" i="8"/>
  <c r="E69" i="8" s="1"/>
  <c r="D69" i="14"/>
  <c r="E69" i="14" s="1"/>
  <c r="L8" i="2"/>
  <c r="D70" i="16"/>
  <c r="E70" i="16" s="1"/>
  <c r="N9" i="2"/>
  <c r="D70" i="5"/>
  <c r="E70" i="5" s="1"/>
  <c r="C9" i="2"/>
  <c r="D71" i="16"/>
  <c r="E71" i="16" s="1"/>
  <c r="N10" i="2"/>
  <c r="D70" i="11"/>
  <c r="E70" i="11" s="1"/>
  <c r="I9" i="2"/>
  <c r="D70" i="6"/>
  <c r="E70" i="6" s="1"/>
  <c r="D9" i="2"/>
  <c r="D71" i="6"/>
  <c r="E71" i="6" s="1"/>
  <c r="D10" i="2"/>
  <c r="D70" i="9"/>
  <c r="E70" i="9" s="1"/>
  <c r="G9" i="2"/>
  <c r="D68" i="5"/>
  <c r="C7" i="2"/>
  <c r="D68" i="10"/>
  <c r="H7" i="2"/>
  <c r="H11" i="2" s="1"/>
  <c r="D68" i="16"/>
  <c r="N7" i="2"/>
  <c r="D71" i="13"/>
  <c r="E71" i="13" s="1"/>
  <c r="K10" i="2"/>
  <c r="D68" i="8"/>
  <c r="F7" i="2"/>
  <c r="D69" i="12"/>
  <c r="E69" i="12" s="1"/>
  <c r="J8" i="2"/>
  <c r="D68" i="15"/>
  <c r="M7" i="2"/>
  <c r="D68" i="6"/>
  <c r="D7" i="2"/>
  <c r="D68" i="9"/>
  <c r="G7" i="2"/>
  <c r="G11" i="2" s="1"/>
  <c r="D70" i="12"/>
  <c r="E70" i="12" s="1"/>
  <c r="J9" i="2"/>
  <c r="D71" i="15"/>
  <c r="E71" i="15" s="1"/>
  <c r="M10" i="2"/>
  <c r="D71" i="10"/>
  <c r="E71" i="10" s="1"/>
  <c r="H10" i="2"/>
  <c r="D71" i="8"/>
  <c r="E71" i="8" s="1"/>
  <c r="F10" i="2"/>
  <c r="D69" i="15"/>
  <c r="E69" i="15" s="1"/>
  <c r="M8" i="2"/>
  <c r="O7" i="2" l="1"/>
  <c r="B15" i="2" s="1"/>
  <c r="C11" i="2"/>
  <c r="I11" i="2"/>
  <c r="D72" i="12"/>
  <c r="E72" i="12" s="1"/>
  <c r="E68" i="12"/>
  <c r="D72" i="11"/>
  <c r="E72" i="11" s="1"/>
  <c r="E68" i="11"/>
  <c r="F11" i="2"/>
  <c r="O8" i="2"/>
  <c r="D72" i="5"/>
  <c r="E72" i="5" s="1"/>
  <c r="E68" i="5"/>
  <c r="D72" i="13"/>
  <c r="E72" i="13" s="1"/>
  <c r="E68" i="13"/>
  <c r="D11" i="2"/>
  <c r="L11" i="2"/>
  <c r="D72" i="9"/>
  <c r="E72" i="9" s="1"/>
  <c r="E68" i="9"/>
  <c r="D72" i="14"/>
  <c r="E72" i="14" s="1"/>
  <c r="E68" i="14"/>
  <c r="D72" i="7"/>
  <c r="E72" i="7" s="1"/>
  <c r="E68" i="7"/>
  <c r="N11" i="2"/>
  <c r="O9" i="2"/>
  <c r="D72" i="10"/>
  <c r="E72" i="10" s="1"/>
  <c r="E68" i="10"/>
  <c r="D72" i="8"/>
  <c r="E72" i="8" s="1"/>
  <c r="E68" i="8"/>
  <c r="D72" i="6"/>
  <c r="E72" i="6" s="1"/>
  <c r="E68" i="6"/>
  <c r="M11" i="2"/>
  <c r="D72" i="15"/>
  <c r="E72" i="15" s="1"/>
  <c r="E68" i="15"/>
  <c r="D72" i="16"/>
  <c r="E72" i="16" s="1"/>
  <c r="E68" i="16"/>
  <c r="O10" i="2"/>
  <c r="H15" i="2" s="1"/>
  <c r="O11" i="2" l="1"/>
  <c r="K15" i="2" s="1"/>
  <c r="E15" i="2"/>
</calcChain>
</file>

<file path=xl/sharedStrings.xml><?xml version="1.0" encoding="utf-8"?>
<sst xmlns="http://schemas.openxmlformats.org/spreadsheetml/2006/main" count="727" uniqueCount="130">
  <si>
    <t>OP! — Mon budget familial</t>
  </si>
  <si>
    <t>Un outil simple et bienveillant pour avancer, à votre rythme.</t>
  </si>
  <si>
    <t>Bienvenue.</t>
  </si>
  <si>
    <t>Ce fichier a été pensé pour vous aider à garder une vision claire sur les finances de votre famille, sans prise de tête et à votre rythme.</t>
  </si>
  <si>
    <t>Il n'y a pas de bonne ou de mauvaise façon de l'utiliser — l'important, c'est de commencer.</t>
  </si>
  <si>
    <t>Comment ça marche</t>
  </si>
  <si>
    <t>1.  Dans l'onglet Transactions, notez chaque entrée ou sortie d'argent au fil de l'eau (date, libellé, catégorie, montant).</t>
  </si>
  <si>
    <t>2.  Chaque mois a son propre onglet (Janvier → Décembre) : la colonne « Réel » s'y met à jour automatiquement depuis vos transactions.</t>
  </si>
  <si>
    <t>3.  Il vous reste juste à renseigner la colonne « Prévu » en début de mois — votre budget cible.</t>
  </si>
  <si>
    <t>4.  L'onglet Synthèse annuelle regroupe l'ensemble pour une vue d'ensemble.</t>
  </si>
  <si>
    <t>5.  L'onglet Mes objectifs vous aide à suivre vos projets d'épargne en famille.</t>
  </si>
  <si>
    <t>Personnalisez les catégories</t>
  </si>
  <si>
    <t>Nous avons pré-rempli quelques catégories classiques (logement, courses, enfants, loisirs…). Des lignes vides sont prévues dans chaque section pour que vous puissiez ajouter les vôtres — abonnements, activités, prêts, etc.</t>
  </si>
  <si>
    <t>Vous pouvez modifier les intitulés librement, les totaux suivront.</t>
  </si>
  <si>
    <t>Nos conseils</t>
  </si>
  <si>
    <t>•  Bloquez 10 minutes dans votre semaine pour mettre à jour le fichier.</t>
  </si>
  <si>
    <t>•  Ne cherchez pas la perfection — une estimation vaut mieux qu'une case vide.</t>
  </si>
  <si>
    <t>•  Si un mois se passe mal, ce n'est pas grave. Recommencez le mois suivant.</t>
  </si>
  <si>
    <t>•  Impliquez votre co-parent : les finances de famille se gèrent à deux, c'est plus léger.</t>
  </si>
  <si>
    <t>Besoin d'aide ?</t>
  </si>
  <si>
    <t>Retrouvez toutes nos ressources gratuites sur op-parents.fr</t>
  </si>
  <si>
    <t>Avec amour,</t>
  </si>
  <si>
    <t>L'équipe OP!</t>
  </si>
  <si>
    <t>Synthèse annuelle</t>
  </si>
  <si>
    <t>Une vue d'ensemble de votre année financière en famille.</t>
  </si>
  <si>
    <t>Catégorie</t>
  </si>
  <si>
    <t>Jan</t>
  </si>
  <si>
    <t>Fév</t>
  </si>
  <si>
    <t>Mar</t>
  </si>
  <si>
    <t>Avr</t>
  </si>
  <si>
    <t>Mai</t>
  </si>
  <si>
    <t>Jui</t>
  </si>
  <si>
    <t>Aoû</t>
  </si>
  <si>
    <t>Sep</t>
  </si>
  <si>
    <t>Oct</t>
  </si>
  <si>
    <t>Nov</t>
  </si>
  <si>
    <t>Déc</t>
  </si>
  <si>
    <t>Total</t>
  </si>
  <si>
    <t>Revenus</t>
  </si>
  <si>
    <t>Dépenses fixes</t>
  </si>
  <si>
    <t>Dépenses courantes</t>
  </si>
  <si>
    <t>Épargne</t>
  </si>
  <si>
    <t>Reste à vivre</t>
  </si>
  <si>
    <t>Revenus de l'année</t>
  </si>
  <si>
    <t>Dépenses de l'année</t>
  </si>
  <si>
    <t>Épargne de l'année</t>
  </si>
  <si>
    <t>Reste à vivre total</t>
  </si>
  <si>
    <t>Mes transactions</t>
  </si>
  <si>
    <t>Notez ici chaque entrée ou sortie d'argent — les onglets mensuels se mettent à jour automatiquement.</t>
  </si>
  <si>
    <t>Astuce : pour une dépense, utilisez la catégorie exacte de l'onglet mensuel (ex. « Courses alimentaires »). Pour une nouvelle catégorie, ajoutez-la d'abord dans le mois concerné puis saisissez-la ici à l'identique.</t>
  </si>
  <si>
    <t>Date</t>
  </si>
  <si>
    <t>Libellé</t>
  </si>
  <si>
    <t>Type</t>
  </si>
  <si>
    <t>Montant</t>
  </si>
  <si>
    <t>Mois</t>
  </si>
  <si>
    <t>OP!  ·  op-parents.fr</t>
  </si>
  <si>
    <t>Salaire parent 1</t>
  </si>
  <si>
    <t>Revenu</t>
  </si>
  <si>
    <t>Salaire parent 2</t>
  </si>
  <si>
    <t>Dépense fixe</t>
  </si>
  <si>
    <t>Allocations familiales / CAF</t>
  </si>
  <si>
    <t>Dépense courante</t>
  </si>
  <si>
    <t>Autres revenus</t>
  </si>
  <si>
    <t>Loyer / Crédit immobilier</t>
  </si>
  <si>
    <t>Charges / Copropriété</t>
  </si>
  <si>
    <t>Électricité / Gaz</t>
  </si>
  <si>
    <t>Eau</t>
  </si>
  <si>
    <t>Internet / Téléphone</t>
  </si>
  <si>
    <t>Assurance habitation</t>
  </si>
  <si>
    <t>Assurance voiture</t>
  </si>
  <si>
    <t>Mutuelle santé</t>
  </si>
  <si>
    <t>Impôts (prélèvement)</t>
  </si>
  <si>
    <t>Crèche / Garde d'enfants</t>
  </si>
  <si>
    <t>Cantine scolaire</t>
  </si>
  <si>
    <t>Abonnements (streaming, salle…)</t>
  </si>
  <si>
    <t>Courses alimentaires</t>
  </si>
  <si>
    <t>Transport / Carburant</t>
  </si>
  <si>
    <t>Vêtements famille</t>
  </si>
  <si>
    <t>Enfants (fournitures, activités)</t>
  </si>
  <si>
    <t>Santé (pharmacie, médecin)</t>
  </si>
  <si>
    <t>Loisirs / Sorties</t>
  </si>
  <si>
    <t>Restaurants / À emporter</t>
  </si>
  <si>
    <t>Cadeaux / Occasions</t>
  </si>
  <si>
    <t>Imprévus</t>
  </si>
  <si>
    <t>Épargne de précaution</t>
  </si>
  <si>
    <t>Épargne projets famille</t>
  </si>
  <si>
    <t>Épargne long terme / PEA</t>
  </si>
  <si>
    <t>Livret enfant</t>
  </si>
  <si>
    <t>Mon budget — Janvier</t>
  </si>
  <si>
    <t>Le « Réel » se met à jour automatiquement depuis l'onglet Transactions.</t>
  </si>
  <si>
    <t>Prévu</t>
  </si>
  <si>
    <t>Réel</t>
  </si>
  <si>
    <t>Écart</t>
  </si>
  <si>
    <t>Total revenus</t>
  </si>
  <si>
    <t>Total dépenses fixes</t>
  </si>
  <si>
    <t>Total dépenses courantes</t>
  </si>
  <si>
    <t>Total épargne</t>
  </si>
  <si>
    <t>Ma synthèse du mois</t>
  </si>
  <si>
    <t>Astuce : un reste à vivre positif, même petit, c'est une victoire. Dix minutes le dimanche suffisent pour mettre à jour le fichier.</t>
  </si>
  <si>
    <t>Mon budget — Février</t>
  </si>
  <si>
    <t>Mon budget — Mars</t>
  </si>
  <si>
    <t>Mon budget — Avril</t>
  </si>
  <si>
    <t>Mon budget — Mai</t>
  </si>
  <si>
    <t>Mon budget — Juin</t>
  </si>
  <si>
    <t>Mon budget — Juillet</t>
  </si>
  <si>
    <t>Mon budget — Août</t>
  </si>
  <si>
    <t>Mon budget — Septembre</t>
  </si>
  <si>
    <t>Mon budget — Octobre</t>
  </si>
  <si>
    <t>Mon budget — Novembre</t>
  </si>
  <si>
    <t>Mon budget — Décembre</t>
  </si>
  <si>
    <t>Mes objectifs d'épargne</t>
  </si>
  <si>
    <t>Listez les projets qui comptent pour votre famille et suivez votre progression.</t>
  </si>
  <si>
    <t>Projet</t>
  </si>
  <si>
    <t>Montant visé</t>
  </si>
  <si>
    <t>Déjà épargné</t>
  </si>
  <si>
    <t>Reste à épargner</t>
  </si>
  <si>
    <t>Progression</t>
  </si>
  <si>
    <t>Échéance / Notes</t>
  </si>
  <si>
    <t>Vacances d'été en famille</t>
  </si>
  <si>
    <t>Juillet 2026</t>
  </si>
  <si>
    <t>Objectif : 3 mois de charges</t>
  </si>
  <si>
    <t>Études des enfants</t>
  </si>
  <si>
    <t>Long terme</t>
  </si>
  <si>
    <t>Travaux maison</t>
  </si>
  <si>
    <t>Automne 2026</t>
  </si>
  <si>
    <t>Voiture familiale</t>
  </si>
  <si>
    <t>2027</t>
  </si>
  <si>
    <t>Projet perso / formation</t>
  </si>
  <si>
    <t>Quand l'envie est là</t>
  </si>
  <si>
    <t>Fixez-vous des objectifs qui vous font vibrer — c'est ce qui donne envie d'épargner.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</si>
</sst>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€&quot;;[Red]\(#,##0&quot; €)&quot;;\-"/>
    <numFmt numFmtId="165" formatCode="#,##0.00&quot; €&quot;;[Red]\(#,##0.00&quot; €)&quot;;\-"/>
    <numFmt numFmtId="166" formatCode="0.0%"/>
  </numFmts>
  <fonts count="23" x14ac:knownFonts="1">
    <font>
      <sz val="11"/>
      <color theme="1"/>
      <name val="Calibri"/>
      <family val="2"/>
      <charset val="1"/>
    </font>
    <font>
      <b/>
      <sz val="22"/>
      <color rgb="FF2D403B"/>
      <name val="Calibri"/>
      <charset val="1"/>
    </font>
    <font>
      <i/>
      <sz val="12"/>
      <color rgb="FFB85C47"/>
      <name val="Calibri"/>
      <charset val="1"/>
    </font>
    <font>
      <sz val="11"/>
      <color rgb="FF5C6B66"/>
      <name val="Calibri"/>
      <charset val="1"/>
    </font>
    <font>
      <b/>
      <sz val="13"/>
      <color rgb="FF2D403B"/>
      <name val="Calibri"/>
      <charset val="1"/>
    </font>
    <font>
      <b/>
      <i/>
      <sz val="11"/>
      <color rgb="FFB85C47"/>
      <name val="Calibri"/>
      <charset val="1"/>
    </font>
    <font>
      <b/>
      <sz val="20"/>
      <color rgb="FF2D403B"/>
      <name val="Calibri"/>
      <charset val="1"/>
    </font>
    <font>
      <i/>
      <sz val="11"/>
      <color rgb="FFB85C47"/>
      <name val="Calibri"/>
      <charset val="1"/>
    </font>
    <font>
      <b/>
      <sz val="11"/>
      <color rgb="FF5C6B66"/>
      <name val="Calibri"/>
      <charset val="1"/>
    </font>
    <font>
      <b/>
      <sz val="10"/>
      <color rgb="FF5C6B66"/>
      <name val="Calibri"/>
      <charset val="1"/>
    </font>
    <font>
      <b/>
      <sz val="11"/>
      <color rgb="FF2D403B"/>
      <name val="Calibri"/>
      <charset val="1"/>
    </font>
    <font>
      <sz val="10"/>
      <color rgb="FF2D403B"/>
      <name val="Calibri"/>
      <charset val="1"/>
    </font>
    <font>
      <b/>
      <sz val="12"/>
      <color rgb="FFB85C47"/>
      <name val="Calibri"/>
      <charset val="1"/>
    </font>
    <font>
      <b/>
      <sz val="10"/>
      <color rgb="FFB85C47"/>
      <name val="Calibri"/>
      <charset val="1"/>
    </font>
    <font>
      <sz val="10"/>
      <color rgb="FF5C6B66"/>
      <name val="Calibri"/>
      <charset val="1"/>
    </font>
    <font>
      <b/>
      <sz val="18"/>
      <color rgb="FF2D403B"/>
      <name val="Calibri"/>
      <charset val="1"/>
    </font>
    <font>
      <i/>
      <sz val="10"/>
      <color rgb="FF5C6B66"/>
      <name val="Calibri"/>
      <charset val="1"/>
    </font>
    <font>
      <i/>
      <sz val="9"/>
      <color rgb="FFB85C47"/>
      <name val="Calibri"/>
      <charset val="1"/>
    </font>
    <font>
      <b/>
      <sz val="12"/>
      <color rgb="FF2D403B"/>
      <name val="Calibri"/>
      <charset val="1"/>
    </font>
    <font>
      <sz val="11"/>
      <color rgb="FF2D403B"/>
      <name val="Calibri"/>
      <charset val="1"/>
    </font>
    <font>
      <i/>
      <sz val="11"/>
      <color rgb="FF5C6B66"/>
      <name val="Calibri"/>
      <charset val="1"/>
    </font>
    <font>
      <b/>
      <sz val="13"/>
      <color rgb="FFB85C47"/>
      <name val="Calibri"/>
      <charset val="1"/>
    </font>
    <font>
      <b/>
      <sz val="11"/>
      <color rgb="FFB85C47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AF6EF"/>
        <bgColor rgb="FFF2ECE1"/>
      </patternFill>
    </fill>
    <fill>
      <patternFill patternType="solid">
        <fgColor rgb="FFF2ECE1"/>
        <bgColor rgb="FFFAF6EF"/>
      </patternFill>
    </fill>
  </fills>
  <borders count="6">
    <border>
      <left/>
      <right/>
      <top/>
      <bottom/>
      <diagonal/>
    </border>
    <border>
      <left/>
      <right/>
      <top/>
      <bottom style="thin">
        <color rgb="FFB85C47"/>
      </bottom>
      <diagonal/>
    </border>
    <border>
      <left/>
      <right/>
      <top/>
      <bottom style="thin">
        <color rgb="FF5C6B66"/>
      </bottom>
      <diagonal/>
    </border>
    <border>
      <left/>
      <right/>
      <top/>
      <bottom style="thin">
        <color rgb="FFD9D2C6"/>
      </bottom>
      <diagonal/>
    </border>
    <border>
      <left/>
      <right/>
      <top style="medium">
        <color rgb="FFB85C47"/>
      </top>
      <bottom style="medium">
        <color rgb="FFB85C47"/>
      </bottom>
      <diagonal/>
    </border>
    <border>
      <left/>
      <right/>
      <top style="thin">
        <color rgb="FF5C6B66"/>
      </top>
      <bottom style="thin">
        <color rgb="FF5C6B66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8" fillId="2" borderId="3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164" fontId="15" fillId="2" borderId="0" xfId="0" applyNumberFormat="1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0" fillId="2" borderId="1" xfId="0" applyFill="1" applyBorder="1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8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164" fontId="11" fillId="2" borderId="3" xfId="0" applyNumberFormat="1" applyFont="1" applyFill="1" applyBorder="1" applyAlignment="1">
      <alignment horizontal="right" vertical="center"/>
    </xf>
    <xf numFmtId="164" fontId="10" fillId="2" borderId="3" xfId="0" applyNumberFormat="1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left" vertical="center"/>
    </xf>
    <xf numFmtId="164" fontId="13" fillId="2" borderId="4" xfId="0" applyNumberFormat="1" applyFont="1" applyFill="1" applyBorder="1" applyAlignment="1">
      <alignment horizontal="right" vertical="center"/>
    </xf>
    <xf numFmtId="164" fontId="12" fillId="2" borderId="4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14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165" fontId="11" fillId="2" borderId="3" xfId="0" applyNumberFormat="1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center" vertical="center"/>
    </xf>
    <xf numFmtId="165" fontId="11" fillId="3" borderId="3" xfId="0" applyNumberFormat="1" applyFont="1" applyFill="1" applyBorder="1" applyAlignment="1">
      <alignment horizontal="right" vertical="center"/>
    </xf>
    <xf numFmtId="0" fontId="16" fillId="3" borderId="3" xfId="0" applyFont="1" applyFill="1" applyBorder="1" applyAlignment="1">
      <alignment horizontal="center" vertical="center"/>
    </xf>
    <xf numFmtId="165" fontId="16" fillId="2" borderId="3" xfId="0" applyNumberFormat="1" applyFont="1" applyFill="1" applyBorder="1" applyAlignment="1">
      <alignment horizontal="right" vertical="center"/>
    </xf>
    <xf numFmtId="165" fontId="16" fillId="3" borderId="3" xfId="0" applyNumberFormat="1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165" fontId="10" fillId="2" borderId="5" xfId="0" applyNumberFormat="1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165" fontId="19" fillId="2" borderId="3" xfId="0" applyNumberFormat="1" applyFont="1" applyFill="1" applyBorder="1" applyAlignment="1">
      <alignment horizontal="right" vertical="center"/>
    </xf>
    <xf numFmtId="165" fontId="20" fillId="2" borderId="3" xfId="0" applyNumberFormat="1" applyFont="1" applyFill="1" applyBorder="1" applyAlignment="1">
      <alignment horizontal="right" vertical="center"/>
    </xf>
    <xf numFmtId="0" fontId="21" fillId="2" borderId="4" xfId="0" applyFont="1" applyFill="1" applyBorder="1" applyAlignment="1">
      <alignment horizontal="left" vertical="center"/>
    </xf>
    <xf numFmtId="165" fontId="21" fillId="2" borderId="4" xfId="0" applyNumberFormat="1" applyFont="1" applyFill="1" applyBorder="1" applyAlignment="1">
      <alignment horizontal="right" vertical="center"/>
    </xf>
    <xf numFmtId="0" fontId="19" fillId="3" borderId="3" xfId="0" applyFont="1" applyFill="1" applyBorder="1" applyAlignment="1">
      <alignment horizontal="left" vertical="center"/>
    </xf>
    <xf numFmtId="164" fontId="19" fillId="3" borderId="3" xfId="0" applyNumberFormat="1" applyFont="1" applyFill="1" applyBorder="1" applyAlignment="1">
      <alignment horizontal="right" vertical="center"/>
    </xf>
    <xf numFmtId="164" fontId="20" fillId="3" borderId="3" xfId="0" applyNumberFormat="1" applyFont="1" applyFill="1" applyBorder="1" applyAlignment="1">
      <alignment horizontal="right" vertical="center"/>
    </xf>
    <xf numFmtId="166" fontId="22" fillId="3" borderId="3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center" wrapText="1"/>
    </xf>
    <xf numFmtId="0" fontId="19" fillId="2" borderId="3" xfId="0" applyFont="1" applyFill="1" applyBorder="1" applyAlignment="1">
      <alignment horizontal="left" vertical="center"/>
    </xf>
    <xf numFmtId="164" fontId="19" fillId="2" borderId="3" xfId="0" applyNumberFormat="1" applyFont="1" applyFill="1" applyBorder="1" applyAlignment="1">
      <alignment horizontal="right" vertical="center"/>
    </xf>
    <xf numFmtId="164" fontId="20" fillId="2" borderId="3" xfId="0" applyNumberFormat="1" applyFont="1" applyFill="1" applyBorder="1" applyAlignment="1">
      <alignment horizontal="right" vertical="center"/>
    </xf>
    <xf numFmtId="166" fontId="22" fillId="2" borderId="3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 wrapText="1"/>
    </xf>
    <xf numFmtId="0" fontId="20" fillId="3" borderId="3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AF6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08080"/>
      <rgbColor rgb="FFB8CD97"/>
      <rgbColor rgb="FF878787"/>
      <rgbColor rgb="FF93A9CE"/>
      <rgbColor rgb="FFAB4744"/>
      <rgbColor rgb="FFF2ECE1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2C6"/>
      <rgbColor rgb="FFFFFF99"/>
      <rgbColor rgb="FF92C3D5"/>
      <rgbColor rgb="FFD09493"/>
      <rgbColor rgb="FFCC99FF"/>
      <rgbColor rgb="FFF8B590"/>
      <rgbColor rgb="FF4672A8"/>
      <rgbColor rgb="FF33CCCC"/>
      <rgbColor rgb="FF99CC00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B85C47"/>
      <rgbColor rgb="FF5C6B66"/>
      <rgbColor rgb="FF2D40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fr-FR" sz="1800" b="1" u="none" strike="noStrike">
                <a:solidFill>
                  <a:srgbClr val="000000"/>
                </a:solidFill>
                <a:uFillTx/>
                <a:latin typeface="Calibri"/>
              </a:rPr>
              <a:t>Reste à vivre mensuel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672A8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annuelle'!$C$11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6-42AA-9311-58C6BD11C802}"/>
            </c:ext>
          </c:extLst>
        </c:ser>
        <c:ser>
          <c:idx val="1"/>
          <c:order val="1"/>
          <c:spPr>
            <a:solidFill>
              <a:srgbClr val="AB474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annuelle'!$D$11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F6-42AA-9311-58C6BD11C802}"/>
            </c:ext>
          </c:extLst>
        </c:ser>
        <c:ser>
          <c:idx val="2"/>
          <c:order val="2"/>
          <c:spPr>
            <a:solidFill>
              <a:srgbClr val="8AA64F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annuelle'!$E$11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F6-42AA-9311-58C6BD11C802}"/>
            </c:ext>
          </c:extLst>
        </c:ser>
        <c:ser>
          <c:idx val="3"/>
          <c:order val="3"/>
          <c:spPr>
            <a:solidFill>
              <a:srgbClr val="725990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annuelle'!$F$11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F6-42AA-9311-58C6BD11C802}"/>
            </c:ext>
          </c:extLst>
        </c:ser>
        <c:ser>
          <c:idx val="4"/>
          <c:order val="4"/>
          <c:spPr>
            <a:solidFill>
              <a:srgbClr val="4299B0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annuelle'!$G$11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F6-42AA-9311-58C6BD11C802}"/>
            </c:ext>
          </c:extLst>
        </c:ser>
        <c:ser>
          <c:idx val="5"/>
          <c:order val="5"/>
          <c:spPr>
            <a:solidFill>
              <a:srgbClr val="DC853E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annuelle'!$H$11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F6-42AA-9311-58C6BD11C802}"/>
            </c:ext>
          </c:extLst>
        </c:ser>
        <c:ser>
          <c:idx val="6"/>
          <c:order val="6"/>
          <c:spPr>
            <a:solidFill>
              <a:srgbClr val="93A9CE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annuelle'!$I$11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F6-42AA-9311-58C6BD11C802}"/>
            </c:ext>
          </c:extLst>
        </c:ser>
        <c:ser>
          <c:idx val="7"/>
          <c:order val="7"/>
          <c:spPr>
            <a:solidFill>
              <a:srgbClr val="D09493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annuelle'!$J$11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F6-42AA-9311-58C6BD11C802}"/>
            </c:ext>
          </c:extLst>
        </c:ser>
        <c:ser>
          <c:idx val="8"/>
          <c:order val="8"/>
          <c:spPr>
            <a:solidFill>
              <a:srgbClr val="B8CD97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annuelle'!$K$11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F6-42AA-9311-58C6BD11C802}"/>
            </c:ext>
          </c:extLst>
        </c:ser>
        <c:ser>
          <c:idx val="9"/>
          <c:order val="9"/>
          <c:spPr>
            <a:solidFill>
              <a:srgbClr val="A99B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annuelle'!$L$11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F6-42AA-9311-58C6BD11C802}"/>
            </c:ext>
          </c:extLst>
        </c:ser>
        <c:ser>
          <c:idx val="10"/>
          <c:order val="10"/>
          <c:spPr>
            <a:solidFill>
              <a:srgbClr val="92C3D5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annuelle'!$M$11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F6-42AA-9311-58C6BD11C802}"/>
            </c:ext>
          </c:extLst>
        </c:ser>
        <c:ser>
          <c:idx val="11"/>
          <c:order val="11"/>
          <c:spPr>
            <a:solidFill>
              <a:srgbClr val="F8B590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'Synthèse annuelle'!$C$6:$N$6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Jui</c:v>
                </c:pt>
                <c:pt idx="6">
                  <c:v>Jui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'Synthèse annuelle'!$N$11</c:f>
              <c:numCache>
                <c:formatCode>#\ ##0" €";[Red]\(#\ ##0" €)";\-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DF6-42AA-9311-58C6BD11C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24350"/>
        <c:axId val="32775170"/>
      </c:barChart>
      <c:catAx>
        <c:axId val="293243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32775170"/>
        <c:crosses val="autoZero"/>
        <c:auto val="1"/>
        <c:lblAlgn val="ctr"/>
        <c:lblOffset val="100"/>
        <c:noMultiLvlLbl val="0"/>
      </c:catAx>
      <c:valAx>
        <c:axId val="32775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fr-F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&quot; €&quot;;[Red]\(#\ ##0&quot; €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fr-FR"/>
          </a:p>
        </c:txPr>
        <c:crossAx val="293243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10</xdr:col>
      <xdr:colOff>604080</xdr:colOff>
      <xdr:row>31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showGridLines="0" zoomScaleNormal="100" workbookViewId="0">
      <selection activeCell="I14" sqref="I14"/>
    </sheetView>
  </sheetViews>
  <sheetFormatPr baseColWidth="10" defaultColWidth="8.6640625" defaultRowHeight="14.4" x14ac:dyDescent="0.3"/>
  <cols>
    <col min="1" max="1" width="13.6640625" customWidth="1"/>
    <col min="2" max="2" width="26.6640625" customWidth="1"/>
    <col min="3" max="3" width="92.44140625" customWidth="1"/>
  </cols>
  <sheetData>
    <row r="1" spans="1:3" x14ac:dyDescent="0.3">
      <c r="A1" s="15"/>
      <c r="B1" s="15"/>
      <c r="C1" s="15"/>
    </row>
    <row r="2" spans="1:3" ht="37.5" customHeight="1" x14ac:dyDescent="0.3">
      <c r="A2" s="15"/>
      <c r="B2" s="14" t="s">
        <v>0</v>
      </c>
      <c r="C2" s="14"/>
    </row>
    <row r="3" spans="1:3" ht="21.75" customHeight="1" x14ac:dyDescent="0.3">
      <c r="A3" s="15"/>
      <c r="B3" s="13" t="s">
        <v>1</v>
      </c>
      <c r="C3" s="13"/>
    </row>
    <row r="4" spans="1:3" ht="6" customHeight="1" x14ac:dyDescent="0.3">
      <c r="A4" s="15"/>
      <c r="B4" s="12"/>
      <c r="C4" s="12"/>
    </row>
    <row r="5" spans="1:3" ht="7.5" customHeight="1" x14ac:dyDescent="0.3">
      <c r="A5" s="15"/>
      <c r="B5" s="11"/>
      <c r="C5" s="11"/>
    </row>
    <row r="6" spans="1:3" ht="21.75" customHeight="1" x14ac:dyDescent="0.3">
      <c r="A6" s="15"/>
      <c r="B6" s="10" t="s">
        <v>2</v>
      </c>
      <c r="C6" s="10"/>
    </row>
    <row r="7" spans="1:3" ht="7.5" customHeight="1" x14ac:dyDescent="0.3">
      <c r="A7" s="15"/>
      <c r="B7" s="11"/>
      <c r="C7" s="11"/>
    </row>
    <row r="8" spans="1:3" ht="21.75" customHeight="1" x14ac:dyDescent="0.3">
      <c r="A8" s="15"/>
      <c r="B8" s="11" t="s">
        <v>3</v>
      </c>
      <c r="C8" s="11"/>
    </row>
    <row r="9" spans="1:3" ht="21.75" customHeight="1" x14ac:dyDescent="0.3">
      <c r="A9" s="15"/>
      <c r="B9" s="11" t="s">
        <v>4</v>
      </c>
      <c r="C9" s="11"/>
    </row>
    <row r="10" spans="1:3" ht="7.5" customHeight="1" x14ac:dyDescent="0.3">
      <c r="A10" s="15"/>
      <c r="B10" s="11"/>
      <c r="C10" s="11"/>
    </row>
    <row r="11" spans="1:3" ht="21.75" customHeight="1" x14ac:dyDescent="0.3">
      <c r="A11" s="15"/>
      <c r="B11" s="10" t="s">
        <v>5</v>
      </c>
      <c r="C11" s="10"/>
    </row>
    <row r="12" spans="1:3" ht="7.5" customHeight="1" x14ac:dyDescent="0.3">
      <c r="A12" s="15"/>
      <c r="B12" s="11"/>
      <c r="C12" s="11"/>
    </row>
    <row r="13" spans="1:3" ht="21.75" customHeight="1" x14ac:dyDescent="0.3">
      <c r="A13" s="15"/>
      <c r="B13" s="11" t="s">
        <v>6</v>
      </c>
      <c r="C13" s="11"/>
    </row>
    <row r="14" spans="1:3" ht="21.75" customHeight="1" x14ac:dyDescent="0.3">
      <c r="A14" s="15"/>
      <c r="B14" s="11" t="s">
        <v>7</v>
      </c>
      <c r="C14" s="11"/>
    </row>
    <row r="15" spans="1:3" ht="21.75" customHeight="1" x14ac:dyDescent="0.3">
      <c r="A15" s="15"/>
      <c r="B15" s="11" t="s">
        <v>8</v>
      </c>
      <c r="C15" s="11"/>
    </row>
    <row r="16" spans="1:3" ht="21.75" customHeight="1" x14ac:dyDescent="0.3">
      <c r="A16" s="15"/>
      <c r="B16" s="11" t="s">
        <v>9</v>
      </c>
      <c r="C16" s="11"/>
    </row>
    <row r="17" spans="1:3" ht="21.75" customHeight="1" x14ac:dyDescent="0.3">
      <c r="A17" s="15"/>
      <c r="B17" s="11" t="s">
        <v>10</v>
      </c>
      <c r="C17" s="11"/>
    </row>
    <row r="18" spans="1:3" ht="7.5" customHeight="1" x14ac:dyDescent="0.3">
      <c r="A18" s="15"/>
      <c r="B18" s="11"/>
      <c r="C18" s="11"/>
    </row>
    <row r="19" spans="1:3" ht="21.75" customHeight="1" x14ac:dyDescent="0.3">
      <c r="A19" s="15"/>
      <c r="B19" s="10" t="s">
        <v>11</v>
      </c>
      <c r="C19" s="10"/>
    </row>
    <row r="20" spans="1:3" ht="7.5" customHeight="1" x14ac:dyDescent="0.3">
      <c r="A20" s="15"/>
      <c r="B20" s="11"/>
      <c r="C20" s="11"/>
    </row>
    <row r="21" spans="1:3" ht="21.75" customHeight="1" x14ac:dyDescent="0.3">
      <c r="A21" s="15"/>
      <c r="B21" s="11" t="s">
        <v>12</v>
      </c>
      <c r="C21" s="11"/>
    </row>
    <row r="22" spans="1:3" ht="21.75" customHeight="1" x14ac:dyDescent="0.3">
      <c r="A22" s="15"/>
      <c r="B22" s="11" t="s">
        <v>13</v>
      </c>
      <c r="C22" s="11"/>
    </row>
    <row r="23" spans="1:3" ht="7.5" customHeight="1" x14ac:dyDescent="0.3">
      <c r="A23" s="15"/>
      <c r="B23" s="11"/>
      <c r="C23" s="11"/>
    </row>
    <row r="24" spans="1:3" ht="21.75" customHeight="1" x14ac:dyDescent="0.3">
      <c r="A24" s="15"/>
      <c r="B24" s="10" t="s">
        <v>14</v>
      </c>
      <c r="C24" s="10"/>
    </row>
    <row r="25" spans="1:3" ht="7.5" customHeight="1" x14ac:dyDescent="0.3">
      <c r="A25" s="15"/>
      <c r="B25" s="11"/>
      <c r="C25" s="11"/>
    </row>
    <row r="26" spans="1:3" ht="21.75" customHeight="1" x14ac:dyDescent="0.3">
      <c r="A26" s="15"/>
      <c r="B26" s="11" t="s">
        <v>15</v>
      </c>
      <c r="C26" s="11"/>
    </row>
    <row r="27" spans="1:3" ht="21.75" customHeight="1" x14ac:dyDescent="0.3">
      <c r="A27" s="15"/>
      <c r="B27" s="11" t="s">
        <v>16</v>
      </c>
      <c r="C27" s="11"/>
    </row>
    <row r="28" spans="1:3" ht="21.75" customHeight="1" x14ac:dyDescent="0.3">
      <c r="A28" s="15"/>
      <c r="B28" s="11" t="s">
        <v>17</v>
      </c>
      <c r="C28" s="11"/>
    </row>
    <row r="29" spans="1:3" ht="21.75" customHeight="1" x14ac:dyDescent="0.3">
      <c r="A29" s="15"/>
      <c r="B29" s="11" t="s">
        <v>18</v>
      </c>
      <c r="C29" s="11"/>
    </row>
    <row r="30" spans="1:3" ht="7.5" customHeight="1" x14ac:dyDescent="0.3">
      <c r="A30" s="15"/>
      <c r="B30" s="11"/>
      <c r="C30" s="11"/>
    </row>
    <row r="31" spans="1:3" ht="21.75" customHeight="1" x14ac:dyDescent="0.3">
      <c r="A31" s="15"/>
      <c r="B31" s="10" t="s">
        <v>19</v>
      </c>
      <c r="C31" s="10"/>
    </row>
    <row r="32" spans="1:3" ht="7.5" customHeight="1" x14ac:dyDescent="0.3">
      <c r="A32" s="15"/>
      <c r="B32" s="11"/>
      <c r="C32" s="11"/>
    </row>
    <row r="33" spans="1:3" ht="21.75" customHeight="1" x14ac:dyDescent="0.3">
      <c r="A33" s="15"/>
      <c r="B33" s="11" t="s">
        <v>20</v>
      </c>
      <c r="C33" s="11"/>
    </row>
    <row r="34" spans="1:3" ht="7.5" customHeight="1" x14ac:dyDescent="0.3">
      <c r="A34" s="15"/>
      <c r="B34" s="11"/>
      <c r="C34" s="11"/>
    </row>
    <row r="35" spans="1:3" ht="21.75" customHeight="1" x14ac:dyDescent="0.3">
      <c r="A35" s="15"/>
      <c r="B35" s="11" t="s">
        <v>21</v>
      </c>
      <c r="C35" s="11"/>
    </row>
    <row r="36" spans="1:3" ht="19.5" customHeight="1" x14ac:dyDescent="0.3">
      <c r="A36" s="15"/>
      <c r="B36" s="9" t="s">
        <v>22</v>
      </c>
      <c r="C36" s="9"/>
    </row>
    <row r="37" spans="1:3" x14ac:dyDescent="0.3">
      <c r="A37" s="15"/>
      <c r="B37" s="15"/>
      <c r="C37" s="15"/>
    </row>
    <row r="38" spans="1:3" x14ac:dyDescent="0.3">
      <c r="A38" s="15"/>
      <c r="B38" s="15"/>
      <c r="C38" s="15"/>
    </row>
    <row r="39" spans="1:3" x14ac:dyDescent="0.3">
      <c r="A39" s="15"/>
      <c r="B39" s="15"/>
      <c r="C39" s="15"/>
    </row>
    <row r="40" spans="1:3" x14ac:dyDescent="0.3">
      <c r="A40" s="15"/>
      <c r="B40" s="15"/>
      <c r="C40" s="15"/>
    </row>
  </sheetData>
  <mergeCells count="35"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2:C2"/>
    <mergeCell ref="B3:C3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showGridLines="0" tabSelected="1" zoomScaleNormal="100" workbookViewId="0">
      <selection activeCell="S15" sqref="S15"/>
    </sheetView>
  </sheetViews>
  <sheetFormatPr baseColWidth="10" defaultColWidth="8.6640625" defaultRowHeight="14.4" x14ac:dyDescent="0.3"/>
  <cols>
    <col min="1" max="1" width="3" customWidth="1"/>
    <col min="2" max="2" width="26" customWidth="1"/>
    <col min="3" max="14" width="11" customWidth="1"/>
    <col min="15" max="15" width="13" customWidth="1"/>
    <col min="16" max="16" width="3" customWidth="1"/>
  </cols>
  <sheetData>
    <row r="1" spans="1:16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3.75" customHeight="1" x14ac:dyDescent="0.3">
      <c r="A2" s="15"/>
      <c r="B2" s="8" t="s">
        <v>23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5"/>
    </row>
    <row r="3" spans="1:16" ht="19.5" customHeight="1" x14ac:dyDescent="0.3">
      <c r="A3" s="15"/>
      <c r="B3" s="7" t="s">
        <v>24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15"/>
    </row>
    <row r="4" spans="1:16" ht="3.75" customHeight="1" x14ac:dyDescent="0.3">
      <c r="A4" s="15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5"/>
    </row>
    <row r="5" spans="1:16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21.75" customHeight="1" x14ac:dyDescent="0.3">
      <c r="A6" s="15"/>
      <c r="B6" s="16" t="s">
        <v>25</v>
      </c>
      <c r="C6" s="17" t="s">
        <v>26</v>
      </c>
      <c r="D6" s="17" t="s">
        <v>27</v>
      </c>
      <c r="E6" s="17" t="s">
        <v>28</v>
      </c>
      <c r="F6" s="17" t="s">
        <v>29</v>
      </c>
      <c r="G6" s="17" t="s">
        <v>30</v>
      </c>
      <c r="H6" s="17" t="s">
        <v>31</v>
      </c>
      <c r="I6" s="17" t="s">
        <v>31</v>
      </c>
      <c r="J6" s="17" t="s">
        <v>32</v>
      </c>
      <c r="K6" s="17" t="s">
        <v>33</v>
      </c>
      <c r="L6" s="17" t="s">
        <v>34</v>
      </c>
      <c r="M6" s="17" t="s">
        <v>35</v>
      </c>
      <c r="N6" s="17" t="s">
        <v>36</v>
      </c>
      <c r="O6" s="18" t="s">
        <v>37</v>
      </c>
      <c r="P6" s="15"/>
    </row>
    <row r="7" spans="1:16" ht="21.75" customHeight="1" x14ac:dyDescent="0.3">
      <c r="A7" s="15"/>
      <c r="B7" s="19" t="s">
        <v>38</v>
      </c>
      <c r="C7" s="20">
        <f>Janvier!D15</f>
        <v>0</v>
      </c>
      <c r="D7" s="20">
        <f>Février!D15</f>
        <v>0</v>
      </c>
      <c r="E7" s="20">
        <f>Mars!D15</f>
        <v>0</v>
      </c>
      <c r="F7" s="20">
        <f>Avril!D15</f>
        <v>0</v>
      </c>
      <c r="G7" s="20">
        <f>Mai!D15</f>
        <v>0</v>
      </c>
      <c r="H7" s="20">
        <f>Juin!D15</f>
        <v>0</v>
      </c>
      <c r="I7" s="20">
        <f>Juillet!D15</f>
        <v>0</v>
      </c>
      <c r="J7" s="20">
        <f>Août!D15</f>
        <v>0</v>
      </c>
      <c r="K7" s="20">
        <f>Septembre!D15</f>
        <v>0</v>
      </c>
      <c r="L7" s="20">
        <f>Octobre!D15</f>
        <v>0</v>
      </c>
      <c r="M7" s="20">
        <f>Novembre!D15</f>
        <v>0</v>
      </c>
      <c r="N7" s="20">
        <f>Décembre!D15</f>
        <v>0</v>
      </c>
      <c r="O7" s="21">
        <f>SUM(C7:N7)</f>
        <v>0</v>
      </c>
      <c r="P7" s="15"/>
    </row>
    <row r="8" spans="1:16" ht="21.75" customHeight="1" x14ac:dyDescent="0.3">
      <c r="A8" s="15"/>
      <c r="B8" s="19" t="s">
        <v>39</v>
      </c>
      <c r="C8" s="20">
        <f>Janvier!D36</f>
        <v>0</v>
      </c>
      <c r="D8" s="20">
        <f>Février!D36</f>
        <v>0</v>
      </c>
      <c r="E8" s="20">
        <f>Mars!D36</f>
        <v>0</v>
      </c>
      <c r="F8" s="20">
        <f>Avril!D36</f>
        <v>0</v>
      </c>
      <c r="G8" s="20">
        <f>Mai!D36</f>
        <v>0</v>
      </c>
      <c r="H8" s="20">
        <f>Juin!D36</f>
        <v>0</v>
      </c>
      <c r="I8" s="20">
        <f>Juillet!D36</f>
        <v>0</v>
      </c>
      <c r="J8" s="20">
        <f>Août!D36</f>
        <v>0</v>
      </c>
      <c r="K8" s="20">
        <f>Septembre!D36</f>
        <v>0</v>
      </c>
      <c r="L8" s="20">
        <f>Octobre!D36</f>
        <v>0</v>
      </c>
      <c r="M8" s="20">
        <f>Novembre!D36</f>
        <v>0</v>
      </c>
      <c r="N8" s="20">
        <f>Décembre!D36</f>
        <v>0</v>
      </c>
      <c r="O8" s="21">
        <f>SUM(C8:N8)</f>
        <v>0</v>
      </c>
      <c r="P8" s="15"/>
    </row>
    <row r="9" spans="1:16" ht="21.75" customHeight="1" x14ac:dyDescent="0.3">
      <c r="A9" s="15"/>
      <c r="B9" s="19" t="s">
        <v>40</v>
      </c>
      <c r="C9" s="20">
        <f>Janvier!D54</f>
        <v>0</v>
      </c>
      <c r="D9" s="20">
        <f>Février!D54</f>
        <v>0</v>
      </c>
      <c r="E9" s="20">
        <f>Mars!D54</f>
        <v>0</v>
      </c>
      <c r="F9" s="20">
        <f>Avril!D54</f>
        <v>0</v>
      </c>
      <c r="G9" s="20">
        <f>Mai!D54</f>
        <v>0</v>
      </c>
      <c r="H9" s="20">
        <f>Juin!D54</f>
        <v>0</v>
      </c>
      <c r="I9" s="20">
        <f>Juillet!D54</f>
        <v>0</v>
      </c>
      <c r="J9" s="20">
        <f>Août!D54</f>
        <v>0</v>
      </c>
      <c r="K9" s="20">
        <f>Septembre!D54</f>
        <v>0</v>
      </c>
      <c r="L9" s="20">
        <f>Octobre!D54</f>
        <v>0</v>
      </c>
      <c r="M9" s="20">
        <f>Novembre!D54</f>
        <v>0</v>
      </c>
      <c r="N9" s="20">
        <f>Décembre!D54</f>
        <v>0</v>
      </c>
      <c r="O9" s="21">
        <f>SUM(C9:N9)</f>
        <v>0</v>
      </c>
      <c r="P9" s="15"/>
    </row>
    <row r="10" spans="1:16" ht="21.75" customHeight="1" x14ac:dyDescent="0.3">
      <c r="A10" s="15"/>
      <c r="B10" s="19" t="s">
        <v>41</v>
      </c>
      <c r="C10" s="20">
        <f>Janvier!D64</f>
        <v>0</v>
      </c>
      <c r="D10" s="20">
        <f>Février!D64</f>
        <v>0</v>
      </c>
      <c r="E10" s="20">
        <f>Mars!D64</f>
        <v>0</v>
      </c>
      <c r="F10" s="20">
        <f>Avril!D64</f>
        <v>0</v>
      </c>
      <c r="G10" s="20">
        <f>Mai!D64</f>
        <v>0</v>
      </c>
      <c r="H10" s="20">
        <f>Juin!D64</f>
        <v>0</v>
      </c>
      <c r="I10" s="20">
        <f>Juillet!D64</f>
        <v>0</v>
      </c>
      <c r="J10" s="20">
        <f>Août!D64</f>
        <v>0</v>
      </c>
      <c r="K10" s="20">
        <f>Septembre!D64</f>
        <v>0</v>
      </c>
      <c r="L10" s="20">
        <f>Octobre!D64</f>
        <v>0</v>
      </c>
      <c r="M10" s="20">
        <f>Novembre!D64</f>
        <v>0</v>
      </c>
      <c r="N10" s="20">
        <f>Décembre!D64</f>
        <v>0</v>
      </c>
      <c r="O10" s="21">
        <f>SUM(C10:N10)</f>
        <v>0</v>
      </c>
      <c r="P10" s="15"/>
    </row>
    <row r="11" spans="1:16" ht="25.5" customHeight="1" x14ac:dyDescent="0.3">
      <c r="A11" s="15"/>
      <c r="B11" s="22" t="s">
        <v>42</v>
      </c>
      <c r="C11" s="23">
        <f t="shared" ref="C11:N11" si="0">C7-C8-C9-C10</f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>J7-J8-J9-J10</f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4">
        <f>SUM(C11:N11)</f>
        <v>0</v>
      </c>
      <c r="P11" s="15"/>
    </row>
    <row r="12" spans="1:16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ht="19.5" customHeight="1" x14ac:dyDescent="0.3">
      <c r="A14" s="15"/>
      <c r="B14" s="6" t="s">
        <v>43</v>
      </c>
      <c r="C14" s="6"/>
      <c r="D14" s="6"/>
      <c r="E14" s="6" t="s">
        <v>44</v>
      </c>
      <c r="F14" s="6"/>
      <c r="G14" s="6"/>
      <c r="H14" s="6" t="s">
        <v>45</v>
      </c>
      <c r="I14" s="6"/>
      <c r="J14" s="6"/>
      <c r="K14" s="6" t="s">
        <v>46</v>
      </c>
      <c r="L14" s="6"/>
      <c r="M14" s="6"/>
      <c r="N14" s="15"/>
      <c r="O14" s="15"/>
      <c r="P14" s="15"/>
    </row>
    <row r="15" spans="1:16" ht="31.5" customHeight="1" x14ac:dyDescent="0.3">
      <c r="A15" s="15"/>
      <c r="B15" s="5">
        <f>O7</f>
        <v>0</v>
      </c>
      <c r="C15" s="5"/>
      <c r="D15" s="5"/>
      <c r="E15" s="5">
        <f>O8+O9</f>
        <v>0</v>
      </c>
      <c r="F15" s="5"/>
      <c r="G15" s="5"/>
      <c r="H15" s="5">
        <f>O10</f>
        <v>0</v>
      </c>
      <c r="I15" s="5"/>
      <c r="J15" s="5"/>
      <c r="K15" s="5">
        <f>O11</f>
        <v>0</v>
      </c>
      <c r="L15" s="5"/>
      <c r="M15" s="5"/>
      <c r="N15" s="15"/>
      <c r="O15" s="15"/>
      <c r="P15" s="15"/>
    </row>
    <row r="16" spans="1:16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</sheetData>
  <mergeCells count="11">
    <mergeCell ref="B15:D15"/>
    <mergeCell ref="E15:G15"/>
    <mergeCell ref="H15:J15"/>
    <mergeCell ref="K15:M15"/>
    <mergeCell ref="B2:O2"/>
    <mergeCell ref="B3:O3"/>
    <mergeCell ref="B4:O4"/>
    <mergeCell ref="B14:D14"/>
    <mergeCell ref="E14:G14"/>
    <mergeCell ref="H14:J14"/>
    <mergeCell ref="K14:M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1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ColWidth="8.6640625" defaultRowHeight="14.4" x14ac:dyDescent="0.3"/>
  <cols>
    <col min="1" max="1" width="3" customWidth="1"/>
    <col min="2" max="2" width="13" customWidth="1"/>
    <col min="3" max="3" width="30" customWidth="1"/>
    <col min="4" max="4" width="28" customWidth="1"/>
    <col min="5" max="5" width="18" customWidth="1"/>
    <col min="6" max="7" width="14" customWidth="1"/>
    <col min="8" max="8" width="3" customWidth="1"/>
  </cols>
  <sheetData>
    <row r="1" spans="1:8" x14ac:dyDescent="0.3">
      <c r="A1" s="15"/>
      <c r="B1" s="15"/>
      <c r="C1" s="15"/>
      <c r="D1" s="15"/>
      <c r="E1" s="15"/>
      <c r="F1" s="15"/>
      <c r="G1" s="15"/>
      <c r="H1" s="15"/>
    </row>
    <row r="2" spans="1:8" ht="33.75" customHeight="1" x14ac:dyDescent="0.3">
      <c r="A2" s="15"/>
      <c r="B2" s="8" t="s">
        <v>47</v>
      </c>
      <c r="C2" s="8"/>
      <c r="D2" s="8"/>
      <c r="E2" s="8"/>
      <c r="F2" s="8"/>
      <c r="G2" s="8"/>
      <c r="H2" s="15"/>
    </row>
    <row r="3" spans="1:8" ht="21.75" customHeight="1" x14ac:dyDescent="0.3">
      <c r="A3" s="15"/>
      <c r="B3" s="4" t="s">
        <v>48</v>
      </c>
      <c r="C3" s="4"/>
      <c r="D3" s="4"/>
      <c r="E3" s="4"/>
      <c r="F3" s="4"/>
      <c r="G3" s="4"/>
      <c r="H3" s="15"/>
    </row>
    <row r="4" spans="1:8" ht="3.75" customHeight="1" x14ac:dyDescent="0.3">
      <c r="A4" s="15"/>
      <c r="B4" s="12"/>
      <c r="C4" s="12"/>
      <c r="D4" s="12"/>
      <c r="E4" s="12"/>
      <c r="F4" s="12"/>
      <c r="G4" s="12"/>
      <c r="H4" s="15"/>
    </row>
    <row r="5" spans="1:8" ht="33.75" customHeight="1" x14ac:dyDescent="0.3">
      <c r="A5" s="15"/>
      <c r="B5" s="3" t="s">
        <v>49</v>
      </c>
      <c r="C5" s="3"/>
      <c r="D5" s="3"/>
      <c r="E5" s="3"/>
      <c r="F5" s="3"/>
      <c r="G5" s="3"/>
      <c r="H5" s="15"/>
    </row>
    <row r="6" spans="1:8" x14ac:dyDescent="0.3">
      <c r="A6" s="15"/>
      <c r="B6" s="15"/>
      <c r="C6" s="15"/>
      <c r="D6" s="15"/>
      <c r="E6" s="15"/>
      <c r="F6" s="15"/>
      <c r="G6" s="15"/>
      <c r="H6" s="15"/>
    </row>
    <row r="7" spans="1:8" ht="24" customHeight="1" x14ac:dyDescent="0.3">
      <c r="A7" s="15"/>
      <c r="B7" s="16" t="s">
        <v>50</v>
      </c>
      <c r="C7" s="16" t="s">
        <v>51</v>
      </c>
      <c r="D7" s="16" t="s">
        <v>25</v>
      </c>
      <c r="E7" s="16" t="s">
        <v>52</v>
      </c>
      <c r="F7" s="25" t="s">
        <v>53</v>
      </c>
      <c r="G7" s="25" t="s">
        <v>54</v>
      </c>
      <c r="H7" s="15"/>
    </row>
    <row r="8" spans="1:8" x14ac:dyDescent="0.3">
      <c r="A8" s="15"/>
      <c r="B8" s="26"/>
      <c r="C8" s="27"/>
      <c r="D8" s="27"/>
      <c r="E8" s="28"/>
      <c r="F8" s="29"/>
      <c r="G8" s="30" t="str">
        <f t="shared" ref="G8:G71" si="0">IF(B8="","",CHOOSE(MONTH(B8),"Janvier","Février","Mars","Avril","Mai","Juin","Juillet","Août","Septembre","Octobre","Novembre","Décembre"))</f>
        <v/>
      </c>
      <c r="H8" s="15"/>
    </row>
    <row r="9" spans="1:8" x14ac:dyDescent="0.3">
      <c r="A9" s="15"/>
      <c r="B9" s="31"/>
      <c r="C9" s="32"/>
      <c r="D9" s="32"/>
      <c r="E9" s="33"/>
      <c r="F9" s="34"/>
      <c r="G9" s="35" t="str">
        <f t="shared" si="0"/>
        <v/>
      </c>
      <c r="H9" s="15"/>
    </row>
    <row r="10" spans="1:8" x14ac:dyDescent="0.3">
      <c r="A10" s="15"/>
      <c r="B10" s="26"/>
      <c r="C10" s="27"/>
      <c r="D10" s="27"/>
      <c r="E10" s="28"/>
      <c r="F10" s="29"/>
      <c r="G10" s="30" t="str">
        <f t="shared" si="0"/>
        <v/>
      </c>
      <c r="H10" s="15"/>
    </row>
    <row r="11" spans="1:8" x14ac:dyDescent="0.3">
      <c r="A11" s="15"/>
      <c r="B11" s="31"/>
      <c r="C11" s="32"/>
      <c r="D11" s="32"/>
      <c r="E11" s="33"/>
      <c r="F11" s="34"/>
      <c r="G11" s="35" t="str">
        <f t="shared" si="0"/>
        <v/>
      </c>
      <c r="H11" s="15"/>
    </row>
    <row r="12" spans="1:8" x14ac:dyDescent="0.3">
      <c r="A12" s="15"/>
      <c r="B12" s="26"/>
      <c r="C12" s="27"/>
      <c r="D12" s="27"/>
      <c r="E12" s="28"/>
      <c r="F12" s="29"/>
      <c r="G12" s="30" t="str">
        <f t="shared" si="0"/>
        <v/>
      </c>
      <c r="H12" s="15"/>
    </row>
    <row r="13" spans="1:8" x14ac:dyDescent="0.3">
      <c r="A13" s="15"/>
      <c r="B13" s="31"/>
      <c r="C13" s="32"/>
      <c r="D13" s="32"/>
      <c r="E13" s="33"/>
      <c r="F13" s="34"/>
      <c r="G13" s="35" t="str">
        <f t="shared" si="0"/>
        <v/>
      </c>
      <c r="H13" s="15"/>
    </row>
    <row r="14" spans="1:8" x14ac:dyDescent="0.3">
      <c r="A14" s="15"/>
      <c r="B14" s="26"/>
      <c r="C14" s="27"/>
      <c r="D14" s="27"/>
      <c r="E14" s="28"/>
      <c r="F14" s="29"/>
      <c r="G14" s="30" t="str">
        <f t="shared" si="0"/>
        <v/>
      </c>
      <c r="H14" s="15"/>
    </row>
    <row r="15" spans="1:8" x14ac:dyDescent="0.3">
      <c r="A15" s="15"/>
      <c r="B15" s="31"/>
      <c r="C15" s="32"/>
      <c r="D15" s="32"/>
      <c r="E15" s="33"/>
      <c r="F15" s="34"/>
      <c r="G15" s="35" t="str">
        <f t="shared" si="0"/>
        <v/>
      </c>
      <c r="H15" s="15"/>
    </row>
    <row r="16" spans="1:8" x14ac:dyDescent="0.3">
      <c r="A16" s="15"/>
      <c r="B16" s="26"/>
      <c r="C16" s="27"/>
      <c r="D16" s="27"/>
      <c r="E16" s="28"/>
      <c r="F16" s="29"/>
      <c r="G16" s="30" t="str">
        <f t="shared" si="0"/>
        <v/>
      </c>
      <c r="H16" s="15"/>
    </row>
    <row r="17" spans="1:8" x14ac:dyDescent="0.3">
      <c r="A17" s="15"/>
      <c r="B17" s="31"/>
      <c r="C17" s="32"/>
      <c r="D17" s="32"/>
      <c r="E17" s="33"/>
      <c r="F17" s="34"/>
      <c r="G17" s="35" t="str">
        <f t="shared" si="0"/>
        <v/>
      </c>
      <c r="H17" s="15"/>
    </row>
    <row r="18" spans="1:8" x14ac:dyDescent="0.3">
      <c r="A18" s="15"/>
      <c r="B18" s="26"/>
      <c r="C18" s="27"/>
      <c r="D18" s="27"/>
      <c r="E18" s="28"/>
      <c r="F18" s="29"/>
      <c r="G18" s="30" t="str">
        <f t="shared" si="0"/>
        <v/>
      </c>
      <c r="H18" s="15"/>
    </row>
    <row r="19" spans="1:8" x14ac:dyDescent="0.3">
      <c r="A19" s="15"/>
      <c r="B19" s="31"/>
      <c r="C19" s="32"/>
      <c r="D19" s="32"/>
      <c r="E19" s="33"/>
      <c r="F19" s="34"/>
      <c r="G19" s="35" t="str">
        <f t="shared" si="0"/>
        <v/>
      </c>
      <c r="H19" s="15"/>
    </row>
    <row r="20" spans="1:8" x14ac:dyDescent="0.3">
      <c r="A20" s="15"/>
      <c r="B20" s="26"/>
      <c r="C20" s="27"/>
      <c r="D20" s="27"/>
      <c r="E20" s="28"/>
      <c r="F20" s="29"/>
      <c r="G20" s="30" t="str">
        <f t="shared" si="0"/>
        <v/>
      </c>
      <c r="H20" s="15"/>
    </row>
    <row r="21" spans="1:8" x14ac:dyDescent="0.3">
      <c r="A21" s="15"/>
      <c r="B21" s="31"/>
      <c r="C21" s="32"/>
      <c r="D21" s="32"/>
      <c r="E21" s="33"/>
      <c r="F21" s="34"/>
      <c r="G21" s="35" t="str">
        <f t="shared" si="0"/>
        <v/>
      </c>
      <c r="H21" s="15"/>
    </row>
    <row r="22" spans="1:8" x14ac:dyDescent="0.3">
      <c r="A22" s="15"/>
      <c r="B22" s="26"/>
      <c r="C22" s="27"/>
      <c r="D22" s="27"/>
      <c r="E22" s="28"/>
      <c r="F22" s="29"/>
      <c r="G22" s="30" t="str">
        <f t="shared" si="0"/>
        <v/>
      </c>
      <c r="H22" s="15"/>
    </row>
    <row r="23" spans="1:8" x14ac:dyDescent="0.3">
      <c r="A23" s="15"/>
      <c r="B23" s="31"/>
      <c r="C23" s="32"/>
      <c r="D23" s="32"/>
      <c r="E23" s="33"/>
      <c r="F23" s="34"/>
      <c r="G23" s="35" t="str">
        <f t="shared" si="0"/>
        <v/>
      </c>
      <c r="H23" s="15"/>
    </row>
    <row r="24" spans="1:8" x14ac:dyDescent="0.3">
      <c r="A24" s="15"/>
      <c r="B24" s="26"/>
      <c r="C24" s="27"/>
      <c r="D24" s="27"/>
      <c r="E24" s="28"/>
      <c r="F24" s="29"/>
      <c r="G24" s="30" t="str">
        <f t="shared" si="0"/>
        <v/>
      </c>
      <c r="H24" s="15"/>
    </row>
    <row r="25" spans="1:8" x14ac:dyDescent="0.3">
      <c r="A25" s="15"/>
      <c r="B25" s="31"/>
      <c r="C25" s="32"/>
      <c r="D25" s="32"/>
      <c r="E25" s="33"/>
      <c r="F25" s="34"/>
      <c r="G25" s="35" t="str">
        <f t="shared" si="0"/>
        <v/>
      </c>
      <c r="H25" s="15"/>
    </row>
    <row r="26" spans="1:8" x14ac:dyDescent="0.3">
      <c r="A26" s="15"/>
      <c r="B26" s="26"/>
      <c r="C26" s="27"/>
      <c r="D26" s="27"/>
      <c r="E26" s="28"/>
      <c r="F26" s="29"/>
      <c r="G26" s="30" t="str">
        <f t="shared" si="0"/>
        <v/>
      </c>
      <c r="H26" s="15"/>
    </row>
    <row r="27" spans="1:8" x14ac:dyDescent="0.3">
      <c r="A27" s="15"/>
      <c r="B27" s="31"/>
      <c r="C27" s="32"/>
      <c r="D27" s="32"/>
      <c r="E27" s="33"/>
      <c r="F27" s="34"/>
      <c r="G27" s="35" t="str">
        <f t="shared" si="0"/>
        <v/>
      </c>
      <c r="H27" s="15"/>
    </row>
    <row r="28" spans="1:8" x14ac:dyDescent="0.3">
      <c r="A28" s="15"/>
      <c r="B28" s="26"/>
      <c r="C28" s="27"/>
      <c r="D28" s="27"/>
      <c r="E28" s="28"/>
      <c r="F28" s="29"/>
      <c r="G28" s="30" t="str">
        <f t="shared" si="0"/>
        <v/>
      </c>
      <c r="H28" s="15"/>
    </row>
    <row r="29" spans="1:8" x14ac:dyDescent="0.3">
      <c r="A29" s="15"/>
      <c r="B29" s="31"/>
      <c r="C29" s="32"/>
      <c r="D29" s="32"/>
      <c r="E29" s="33"/>
      <c r="F29" s="34"/>
      <c r="G29" s="35" t="str">
        <f t="shared" si="0"/>
        <v/>
      </c>
      <c r="H29" s="15"/>
    </row>
    <row r="30" spans="1:8" x14ac:dyDescent="0.3">
      <c r="A30" s="15"/>
      <c r="B30" s="26"/>
      <c r="C30" s="27"/>
      <c r="D30" s="27"/>
      <c r="E30" s="28"/>
      <c r="F30" s="29"/>
      <c r="G30" s="30" t="str">
        <f t="shared" si="0"/>
        <v/>
      </c>
      <c r="H30" s="15"/>
    </row>
    <row r="31" spans="1:8" x14ac:dyDescent="0.3">
      <c r="A31" s="15"/>
      <c r="B31" s="31"/>
      <c r="C31" s="32"/>
      <c r="D31" s="32"/>
      <c r="E31" s="33"/>
      <c r="F31" s="34"/>
      <c r="G31" s="35" t="str">
        <f t="shared" si="0"/>
        <v/>
      </c>
      <c r="H31" s="15"/>
    </row>
    <row r="32" spans="1:8" x14ac:dyDescent="0.3">
      <c r="A32" s="15"/>
      <c r="B32" s="26"/>
      <c r="C32" s="27"/>
      <c r="D32" s="27"/>
      <c r="E32" s="28"/>
      <c r="F32" s="29"/>
      <c r="G32" s="30" t="str">
        <f t="shared" si="0"/>
        <v/>
      </c>
      <c r="H32" s="15"/>
    </row>
    <row r="33" spans="1:8" x14ac:dyDescent="0.3">
      <c r="A33" s="15"/>
      <c r="B33" s="31"/>
      <c r="C33" s="32"/>
      <c r="D33" s="32"/>
      <c r="E33" s="33"/>
      <c r="F33" s="34"/>
      <c r="G33" s="35" t="str">
        <f t="shared" si="0"/>
        <v/>
      </c>
      <c r="H33" s="15"/>
    </row>
    <row r="34" spans="1:8" x14ac:dyDescent="0.3">
      <c r="A34" s="15"/>
      <c r="B34" s="26"/>
      <c r="C34" s="27"/>
      <c r="D34" s="27"/>
      <c r="E34" s="28"/>
      <c r="F34" s="29"/>
      <c r="G34" s="30" t="str">
        <f t="shared" si="0"/>
        <v/>
      </c>
      <c r="H34" s="15"/>
    </row>
    <row r="35" spans="1:8" x14ac:dyDescent="0.3">
      <c r="A35" s="15"/>
      <c r="B35" s="31"/>
      <c r="C35" s="32"/>
      <c r="D35" s="32"/>
      <c r="E35" s="33"/>
      <c r="F35" s="34"/>
      <c r="G35" s="35" t="str">
        <f t="shared" si="0"/>
        <v/>
      </c>
      <c r="H35" s="15"/>
    </row>
    <row r="36" spans="1:8" x14ac:dyDescent="0.3">
      <c r="A36" s="15"/>
      <c r="B36" s="26"/>
      <c r="C36" s="27"/>
      <c r="D36" s="27"/>
      <c r="E36" s="28"/>
      <c r="F36" s="29"/>
      <c r="G36" s="30" t="str">
        <f t="shared" si="0"/>
        <v/>
      </c>
      <c r="H36" s="15"/>
    </row>
    <row r="37" spans="1:8" x14ac:dyDescent="0.3">
      <c r="A37" s="15"/>
      <c r="B37" s="31"/>
      <c r="C37" s="32"/>
      <c r="D37" s="32"/>
      <c r="E37" s="33"/>
      <c r="F37" s="34"/>
      <c r="G37" s="35" t="str">
        <f t="shared" si="0"/>
        <v/>
      </c>
      <c r="H37" s="15"/>
    </row>
    <row r="38" spans="1:8" x14ac:dyDescent="0.3">
      <c r="A38" s="15"/>
      <c r="B38" s="26"/>
      <c r="C38" s="27"/>
      <c r="D38" s="27"/>
      <c r="E38" s="28"/>
      <c r="F38" s="29"/>
      <c r="G38" s="30" t="str">
        <f t="shared" si="0"/>
        <v/>
      </c>
      <c r="H38" s="15"/>
    </row>
    <row r="39" spans="1:8" x14ac:dyDescent="0.3">
      <c r="A39" s="15"/>
      <c r="B39" s="31"/>
      <c r="C39" s="32"/>
      <c r="D39" s="32"/>
      <c r="E39" s="33"/>
      <c r="F39" s="34"/>
      <c r="G39" s="35" t="str">
        <f t="shared" si="0"/>
        <v/>
      </c>
      <c r="H39" s="15"/>
    </row>
    <row r="40" spans="1:8" x14ac:dyDescent="0.3">
      <c r="A40" s="15"/>
      <c r="B40" s="26"/>
      <c r="C40" s="27"/>
      <c r="D40" s="27"/>
      <c r="E40" s="28"/>
      <c r="F40" s="29"/>
      <c r="G40" s="30" t="str">
        <f t="shared" si="0"/>
        <v/>
      </c>
      <c r="H40" s="15"/>
    </row>
    <row r="41" spans="1:8" x14ac:dyDescent="0.3">
      <c r="A41" s="15"/>
      <c r="B41" s="31"/>
      <c r="C41" s="32"/>
      <c r="D41" s="32"/>
      <c r="E41" s="33"/>
      <c r="F41" s="34"/>
      <c r="G41" s="35" t="str">
        <f t="shared" si="0"/>
        <v/>
      </c>
      <c r="H41" s="15"/>
    </row>
    <row r="42" spans="1:8" x14ac:dyDescent="0.3">
      <c r="A42" s="15"/>
      <c r="B42" s="26"/>
      <c r="C42" s="27"/>
      <c r="D42" s="27"/>
      <c r="E42" s="28"/>
      <c r="F42" s="29"/>
      <c r="G42" s="30" t="str">
        <f t="shared" si="0"/>
        <v/>
      </c>
      <c r="H42" s="15"/>
    </row>
    <row r="43" spans="1:8" x14ac:dyDescent="0.3">
      <c r="A43" s="15"/>
      <c r="B43" s="31"/>
      <c r="C43" s="32"/>
      <c r="D43" s="32"/>
      <c r="E43" s="33"/>
      <c r="F43" s="34"/>
      <c r="G43" s="35" t="str">
        <f t="shared" si="0"/>
        <v/>
      </c>
      <c r="H43" s="15"/>
    </row>
    <row r="44" spans="1:8" x14ac:dyDescent="0.3">
      <c r="A44" s="15"/>
      <c r="B44" s="26"/>
      <c r="C44" s="27"/>
      <c r="D44" s="27"/>
      <c r="E44" s="28"/>
      <c r="F44" s="29"/>
      <c r="G44" s="30" t="str">
        <f t="shared" si="0"/>
        <v/>
      </c>
      <c r="H44" s="15"/>
    </row>
    <row r="45" spans="1:8" x14ac:dyDescent="0.3">
      <c r="A45" s="15"/>
      <c r="B45" s="31"/>
      <c r="C45" s="32"/>
      <c r="D45" s="32"/>
      <c r="E45" s="33"/>
      <c r="F45" s="34"/>
      <c r="G45" s="35" t="str">
        <f t="shared" si="0"/>
        <v/>
      </c>
      <c r="H45" s="15"/>
    </row>
    <row r="46" spans="1:8" x14ac:dyDescent="0.3">
      <c r="A46" s="15"/>
      <c r="B46" s="26"/>
      <c r="C46" s="27"/>
      <c r="D46" s="27"/>
      <c r="E46" s="28"/>
      <c r="F46" s="29"/>
      <c r="G46" s="30" t="str">
        <f t="shared" si="0"/>
        <v/>
      </c>
      <c r="H46" s="15"/>
    </row>
    <row r="47" spans="1:8" x14ac:dyDescent="0.3">
      <c r="A47" s="15"/>
      <c r="B47" s="31"/>
      <c r="C47" s="32"/>
      <c r="D47" s="32"/>
      <c r="E47" s="33"/>
      <c r="F47" s="34"/>
      <c r="G47" s="35" t="str">
        <f t="shared" si="0"/>
        <v/>
      </c>
      <c r="H47" s="15"/>
    </row>
    <row r="48" spans="1:8" x14ac:dyDescent="0.3">
      <c r="A48" s="15"/>
      <c r="B48" s="26"/>
      <c r="C48" s="27"/>
      <c r="D48" s="27"/>
      <c r="E48" s="28"/>
      <c r="F48" s="29"/>
      <c r="G48" s="30" t="str">
        <f t="shared" si="0"/>
        <v/>
      </c>
      <c r="H48" s="15"/>
    </row>
    <row r="49" spans="1:8" x14ac:dyDescent="0.3">
      <c r="A49" s="15"/>
      <c r="B49" s="31"/>
      <c r="C49" s="32"/>
      <c r="D49" s="32"/>
      <c r="E49" s="33"/>
      <c r="F49" s="34"/>
      <c r="G49" s="35" t="str">
        <f t="shared" si="0"/>
        <v/>
      </c>
      <c r="H49" s="15"/>
    </row>
    <row r="50" spans="1:8" x14ac:dyDescent="0.3">
      <c r="A50" s="15"/>
      <c r="B50" s="26"/>
      <c r="C50" s="27"/>
      <c r="D50" s="27"/>
      <c r="E50" s="28"/>
      <c r="F50" s="29"/>
      <c r="G50" s="30" t="str">
        <f t="shared" si="0"/>
        <v/>
      </c>
      <c r="H50" s="15"/>
    </row>
    <row r="51" spans="1:8" x14ac:dyDescent="0.3">
      <c r="A51" s="15"/>
      <c r="B51" s="31"/>
      <c r="C51" s="32"/>
      <c r="D51" s="32"/>
      <c r="E51" s="33"/>
      <c r="F51" s="34"/>
      <c r="G51" s="35" t="str">
        <f t="shared" si="0"/>
        <v/>
      </c>
      <c r="H51" s="15"/>
    </row>
    <row r="52" spans="1:8" x14ac:dyDescent="0.3">
      <c r="A52" s="15"/>
      <c r="B52" s="26"/>
      <c r="C52" s="27"/>
      <c r="D52" s="27"/>
      <c r="E52" s="28"/>
      <c r="F52" s="29"/>
      <c r="G52" s="30" t="str">
        <f t="shared" si="0"/>
        <v/>
      </c>
      <c r="H52" s="15"/>
    </row>
    <row r="53" spans="1:8" x14ac:dyDescent="0.3">
      <c r="A53" s="15"/>
      <c r="B53" s="31"/>
      <c r="C53" s="32"/>
      <c r="D53" s="32"/>
      <c r="E53" s="33"/>
      <c r="F53" s="34"/>
      <c r="G53" s="35" t="str">
        <f t="shared" si="0"/>
        <v/>
      </c>
      <c r="H53" s="15"/>
    </row>
    <row r="54" spans="1:8" x14ac:dyDescent="0.3">
      <c r="A54" s="15"/>
      <c r="B54" s="26"/>
      <c r="C54" s="27"/>
      <c r="D54" s="27"/>
      <c r="E54" s="28"/>
      <c r="F54" s="29"/>
      <c r="G54" s="30" t="str">
        <f t="shared" si="0"/>
        <v/>
      </c>
      <c r="H54" s="15"/>
    </row>
    <row r="55" spans="1:8" x14ac:dyDescent="0.3">
      <c r="A55" s="15"/>
      <c r="B55" s="31"/>
      <c r="C55" s="32"/>
      <c r="D55" s="32"/>
      <c r="E55" s="33"/>
      <c r="F55" s="34"/>
      <c r="G55" s="35" t="str">
        <f t="shared" si="0"/>
        <v/>
      </c>
      <c r="H55" s="15"/>
    </row>
    <row r="56" spans="1:8" x14ac:dyDescent="0.3">
      <c r="A56" s="15"/>
      <c r="B56" s="26"/>
      <c r="C56" s="27"/>
      <c r="D56" s="27"/>
      <c r="E56" s="28"/>
      <c r="F56" s="29"/>
      <c r="G56" s="30" t="str">
        <f t="shared" si="0"/>
        <v/>
      </c>
      <c r="H56" s="15"/>
    </row>
    <row r="57" spans="1:8" x14ac:dyDescent="0.3">
      <c r="A57" s="15"/>
      <c r="B57" s="31"/>
      <c r="C57" s="32"/>
      <c r="D57" s="32"/>
      <c r="E57" s="33"/>
      <c r="F57" s="34"/>
      <c r="G57" s="35" t="str">
        <f t="shared" si="0"/>
        <v/>
      </c>
      <c r="H57" s="15"/>
    </row>
    <row r="58" spans="1:8" x14ac:dyDescent="0.3">
      <c r="A58" s="15"/>
      <c r="B58" s="26"/>
      <c r="C58" s="27"/>
      <c r="D58" s="27"/>
      <c r="E58" s="28"/>
      <c r="F58" s="29"/>
      <c r="G58" s="30" t="str">
        <f t="shared" si="0"/>
        <v/>
      </c>
      <c r="H58" s="15"/>
    </row>
    <row r="59" spans="1:8" x14ac:dyDescent="0.3">
      <c r="A59" s="15"/>
      <c r="B59" s="31"/>
      <c r="C59" s="32"/>
      <c r="D59" s="32"/>
      <c r="E59" s="33"/>
      <c r="F59" s="34"/>
      <c r="G59" s="35" t="str">
        <f t="shared" si="0"/>
        <v/>
      </c>
      <c r="H59" s="15"/>
    </row>
    <row r="60" spans="1:8" x14ac:dyDescent="0.3">
      <c r="A60" s="15"/>
      <c r="B60" s="26"/>
      <c r="C60" s="27"/>
      <c r="D60" s="27"/>
      <c r="E60" s="28"/>
      <c r="F60" s="29"/>
      <c r="G60" s="30" t="str">
        <f t="shared" si="0"/>
        <v/>
      </c>
      <c r="H60" s="15"/>
    </row>
    <row r="61" spans="1:8" x14ac:dyDescent="0.3">
      <c r="A61" s="15"/>
      <c r="B61" s="31"/>
      <c r="C61" s="32"/>
      <c r="D61" s="32"/>
      <c r="E61" s="33"/>
      <c r="F61" s="34"/>
      <c r="G61" s="35" t="str">
        <f t="shared" si="0"/>
        <v/>
      </c>
      <c r="H61" s="15"/>
    </row>
    <row r="62" spans="1:8" x14ac:dyDescent="0.3">
      <c r="A62" s="15"/>
      <c r="B62" s="26"/>
      <c r="C62" s="27"/>
      <c r="D62" s="27"/>
      <c r="E62" s="28"/>
      <c r="F62" s="29"/>
      <c r="G62" s="30" t="str">
        <f t="shared" si="0"/>
        <v/>
      </c>
      <c r="H62" s="15"/>
    </row>
    <row r="63" spans="1:8" x14ac:dyDescent="0.3">
      <c r="A63" s="15"/>
      <c r="B63" s="31"/>
      <c r="C63" s="32"/>
      <c r="D63" s="32"/>
      <c r="E63" s="33"/>
      <c r="F63" s="34"/>
      <c r="G63" s="35" t="str">
        <f t="shared" si="0"/>
        <v/>
      </c>
      <c r="H63" s="15"/>
    </row>
    <row r="64" spans="1:8" x14ac:dyDescent="0.3">
      <c r="A64" s="15"/>
      <c r="B64" s="26"/>
      <c r="C64" s="27"/>
      <c r="D64" s="27"/>
      <c r="E64" s="28"/>
      <c r="F64" s="29"/>
      <c r="G64" s="30" t="str">
        <f t="shared" si="0"/>
        <v/>
      </c>
      <c r="H64" s="15"/>
    </row>
    <row r="65" spans="1:8" x14ac:dyDescent="0.3">
      <c r="A65" s="15"/>
      <c r="B65" s="31"/>
      <c r="C65" s="32"/>
      <c r="D65" s="32"/>
      <c r="E65" s="33"/>
      <c r="F65" s="34"/>
      <c r="G65" s="35" t="str">
        <f t="shared" si="0"/>
        <v/>
      </c>
      <c r="H65" s="15"/>
    </row>
    <row r="66" spans="1:8" x14ac:dyDescent="0.3">
      <c r="A66" s="15"/>
      <c r="B66" s="26"/>
      <c r="C66" s="27"/>
      <c r="D66" s="27"/>
      <c r="E66" s="28"/>
      <c r="F66" s="29"/>
      <c r="G66" s="30" t="str">
        <f t="shared" si="0"/>
        <v/>
      </c>
      <c r="H66" s="15"/>
    </row>
    <row r="67" spans="1:8" x14ac:dyDescent="0.3">
      <c r="A67" s="15"/>
      <c r="B67" s="31"/>
      <c r="C67" s="32"/>
      <c r="D67" s="32"/>
      <c r="E67" s="33"/>
      <c r="F67" s="34"/>
      <c r="G67" s="35" t="str">
        <f t="shared" si="0"/>
        <v/>
      </c>
      <c r="H67" s="15"/>
    </row>
    <row r="68" spans="1:8" x14ac:dyDescent="0.3">
      <c r="A68" s="15"/>
      <c r="B68" s="26"/>
      <c r="C68" s="27"/>
      <c r="D68" s="27"/>
      <c r="E68" s="28"/>
      <c r="F68" s="29"/>
      <c r="G68" s="30" t="str">
        <f t="shared" si="0"/>
        <v/>
      </c>
      <c r="H68" s="15"/>
    </row>
    <row r="69" spans="1:8" x14ac:dyDescent="0.3">
      <c r="A69" s="15"/>
      <c r="B69" s="31"/>
      <c r="C69" s="32"/>
      <c r="D69" s="32"/>
      <c r="E69" s="33"/>
      <c r="F69" s="34"/>
      <c r="G69" s="35" t="str">
        <f t="shared" si="0"/>
        <v/>
      </c>
      <c r="H69" s="15"/>
    </row>
    <row r="70" spans="1:8" x14ac:dyDescent="0.3">
      <c r="A70" s="15"/>
      <c r="B70" s="26"/>
      <c r="C70" s="27"/>
      <c r="D70" s="27"/>
      <c r="E70" s="28"/>
      <c r="F70" s="29"/>
      <c r="G70" s="30" t="str">
        <f t="shared" si="0"/>
        <v/>
      </c>
      <c r="H70" s="15"/>
    </row>
    <row r="71" spans="1:8" x14ac:dyDescent="0.3">
      <c r="A71" s="15"/>
      <c r="B71" s="31"/>
      <c r="C71" s="32"/>
      <c r="D71" s="32"/>
      <c r="E71" s="33"/>
      <c r="F71" s="34"/>
      <c r="G71" s="35" t="str">
        <f t="shared" si="0"/>
        <v/>
      </c>
      <c r="H71" s="15"/>
    </row>
    <row r="72" spans="1:8" x14ac:dyDescent="0.3">
      <c r="A72" s="15"/>
      <c r="B72" s="26"/>
      <c r="C72" s="27"/>
      <c r="D72" s="27"/>
      <c r="E72" s="28"/>
      <c r="F72" s="29"/>
      <c r="G72" s="30" t="str">
        <f t="shared" ref="G72:G135" si="1">IF(B72="","",CHOOSE(MONTH(B72),"Janvier","Février","Mars","Avril","Mai","Juin","Juillet","Août","Septembre","Octobre","Novembre","Décembre"))</f>
        <v/>
      </c>
      <c r="H72" s="15"/>
    </row>
    <row r="73" spans="1:8" x14ac:dyDescent="0.3">
      <c r="A73" s="15"/>
      <c r="B73" s="31"/>
      <c r="C73" s="32"/>
      <c r="D73" s="32"/>
      <c r="E73" s="33"/>
      <c r="F73" s="34"/>
      <c r="G73" s="35" t="str">
        <f t="shared" si="1"/>
        <v/>
      </c>
      <c r="H73" s="15"/>
    </row>
    <row r="74" spans="1:8" x14ac:dyDescent="0.3">
      <c r="A74" s="15"/>
      <c r="B74" s="26"/>
      <c r="C74" s="27"/>
      <c r="D74" s="27"/>
      <c r="E74" s="28"/>
      <c r="F74" s="29"/>
      <c r="G74" s="30" t="str">
        <f t="shared" si="1"/>
        <v/>
      </c>
      <c r="H74" s="15"/>
    </row>
    <row r="75" spans="1:8" x14ac:dyDescent="0.3">
      <c r="A75" s="15"/>
      <c r="B75" s="31"/>
      <c r="C75" s="32"/>
      <c r="D75" s="32"/>
      <c r="E75" s="33"/>
      <c r="F75" s="34"/>
      <c r="G75" s="35" t="str">
        <f t="shared" si="1"/>
        <v/>
      </c>
      <c r="H75" s="15"/>
    </row>
    <row r="76" spans="1:8" x14ac:dyDescent="0.3">
      <c r="A76" s="15"/>
      <c r="B76" s="26"/>
      <c r="C76" s="27"/>
      <c r="D76" s="27"/>
      <c r="E76" s="28"/>
      <c r="F76" s="29"/>
      <c r="G76" s="30" t="str">
        <f t="shared" si="1"/>
        <v/>
      </c>
      <c r="H76" s="15"/>
    </row>
    <row r="77" spans="1:8" x14ac:dyDescent="0.3">
      <c r="A77" s="15"/>
      <c r="B77" s="31"/>
      <c r="C77" s="32"/>
      <c r="D77" s="32"/>
      <c r="E77" s="33"/>
      <c r="F77" s="34"/>
      <c r="G77" s="35" t="str">
        <f t="shared" si="1"/>
        <v/>
      </c>
      <c r="H77" s="15"/>
    </row>
    <row r="78" spans="1:8" x14ac:dyDescent="0.3">
      <c r="A78" s="15"/>
      <c r="B78" s="26"/>
      <c r="C78" s="27"/>
      <c r="D78" s="27"/>
      <c r="E78" s="28"/>
      <c r="F78" s="29"/>
      <c r="G78" s="30" t="str">
        <f t="shared" si="1"/>
        <v/>
      </c>
      <c r="H78" s="15"/>
    </row>
    <row r="79" spans="1:8" x14ac:dyDescent="0.3">
      <c r="A79" s="15"/>
      <c r="B79" s="31"/>
      <c r="C79" s="32"/>
      <c r="D79" s="32"/>
      <c r="E79" s="33"/>
      <c r="F79" s="34"/>
      <c r="G79" s="35" t="str">
        <f t="shared" si="1"/>
        <v/>
      </c>
      <c r="H79" s="15"/>
    </row>
    <row r="80" spans="1:8" x14ac:dyDescent="0.3">
      <c r="A80" s="15"/>
      <c r="B80" s="26"/>
      <c r="C80" s="27"/>
      <c r="D80" s="27"/>
      <c r="E80" s="28"/>
      <c r="F80" s="29"/>
      <c r="G80" s="30" t="str">
        <f t="shared" si="1"/>
        <v/>
      </c>
      <c r="H80" s="15"/>
    </row>
    <row r="81" spans="1:8" x14ac:dyDescent="0.3">
      <c r="A81" s="15"/>
      <c r="B81" s="31"/>
      <c r="C81" s="32"/>
      <c r="D81" s="32"/>
      <c r="E81" s="33"/>
      <c r="F81" s="34"/>
      <c r="G81" s="35" t="str">
        <f t="shared" si="1"/>
        <v/>
      </c>
      <c r="H81" s="15"/>
    </row>
    <row r="82" spans="1:8" x14ac:dyDescent="0.3">
      <c r="A82" s="15"/>
      <c r="B82" s="26"/>
      <c r="C82" s="27"/>
      <c r="D82" s="27"/>
      <c r="E82" s="28"/>
      <c r="F82" s="29"/>
      <c r="G82" s="30" t="str">
        <f t="shared" si="1"/>
        <v/>
      </c>
      <c r="H82" s="15"/>
    </row>
    <row r="83" spans="1:8" x14ac:dyDescent="0.3">
      <c r="A83" s="15"/>
      <c r="B83" s="31"/>
      <c r="C83" s="32"/>
      <c r="D83" s="32"/>
      <c r="E83" s="33"/>
      <c r="F83" s="34"/>
      <c r="G83" s="35" t="str">
        <f t="shared" si="1"/>
        <v/>
      </c>
      <c r="H83" s="15"/>
    </row>
    <row r="84" spans="1:8" x14ac:dyDescent="0.3">
      <c r="A84" s="15"/>
      <c r="B84" s="26"/>
      <c r="C84" s="27"/>
      <c r="D84" s="27"/>
      <c r="E84" s="28"/>
      <c r="F84" s="29"/>
      <c r="G84" s="30" t="str">
        <f t="shared" si="1"/>
        <v/>
      </c>
      <c r="H84" s="15"/>
    </row>
    <row r="85" spans="1:8" x14ac:dyDescent="0.3">
      <c r="A85" s="15"/>
      <c r="B85" s="31"/>
      <c r="C85" s="32"/>
      <c r="D85" s="32"/>
      <c r="E85" s="33"/>
      <c r="F85" s="34"/>
      <c r="G85" s="35" t="str">
        <f t="shared" si="1"/>
        <v/>
      </c>
      <c r="H85" s="15"/>
    </row>
    <row r="86" spans="1:8" x14ac:dyDescent="0.3">
      <c r="A86" s="15"/>
      <c r="B86" s="26"/>
      <c r="C86" s="27"/>
      <c r="D86" s="27"/>
      <c r="E86" s="28"/>
      <c r="F86" s="29"/>
      <c r="G86" s="30" t="str">
        <f t="shared" si="1"/>
        <v/>
      </c>
      <c r="H86" s="15"/>
    </row>
    <row r="87" spans="1:8" x14ac:dyDescent="0.3">
      <c r="A87" s="15"/>
      <c r="B87" s="31"/>
      <c r="C87" s="32"/>
      <c r="D87" s="32"/>
      <c r="E87" s="33"/>
      <c r="F87" s="34"/>
      <c r="G87" s="35" t="str">
        <f t="shared" si="1"/>
        <v/>
      </c>
      <c r="H87" s="15"/>
    </row>
    <row r="88" spans="1:8" x14ac:dyDescent="0.3">
      <c r="A88" s="15"/>
      <c r="B88" s="26"/>
      <c r="C88" s="27"/>
      <c r="D88" s="27"/>
      <c r="E88" s="28"/>
      <c r="F88" s="29"/>
      <c r="G88" s="30" t="str">
        <f t="shared" si="1"/>
        <v/>
      </c>
      <c r="H88" s="15"/>
    </row>
    <row r="89" spans="1:8" x14ac:dyDescent="0.3">
      <c r="A89" s="15"/>
      <c r="B89" s="31"/>
      <c r="C89" s="32"/>
      <c r="D89" s="32"/>
      <c r="E89" s="33"/>
      <c r="F89" s="34"/>
      <c r="G89" s="35" t="str">
        <f t="shared" si="1"/>
        <v/>
      </c>
      <c r="H89" s="15"/>
    </row>
    <row r="90" spans="1:8" x14ac:dyDescent="0.3">
      <c r="A90" s="15"/>
      <c r="B90" s="26"/>
      <c r="C90" s="27"/>
      <c r="D90" s="27"/>
      <c r="E90" s="28"/>
      <c r="F90" s="29"/>
      <c r="G90" s="30" t="str">
        <f t="shared" si="1"/>
        <v/>
      </c>
      <c r="H90" s="15"/>
    </row>
    <row r="91" spans="1:8" x14ac:dyDescent="0.3">
      <c r="A91" s="15"/>
      <c r="B91" s="31"/>
      <c r="C91" s="32"/>
      <c r="D91" s="32"/>
      <c r="E91" s="33"/>
      <c r="F91" s="34"/>
      <c r="G91" s="35" t="str">
        <f t="shared" si="1"/>
        <v/>
      </c>
      <c r="H91" s="15"/>
    </row>
    <row r="92" spans="1:8" x14ac:dyDescent="0.3">
      <c r="A92" s="15"/>
      <c r="B92" s="26"/>
      <c r="C92" s="27"/>
      <c r="D92" s="27"/>
      <c r="E92" s="28"/>
      <c r="F92" s="29"/>
      <c r="G92" s="30" t="str">
        <f t="shared" si="1"/>
        <v/>
      </c>
      <c r="H92" s="15"/>
    </row>
    <row r="93" spans="1:8" x14ac:dyDescent="0.3">
      <c r="A93" s="15"/>
      <c r="B93" s="31"/>
      <c r="C93" s="32"/>
      <c r="D93" s="32"/>
      <c r="E93" s="33"/>
      <c r="F93" s="34"/>
      <c r="G93" s="35" t="str">
        <f t="shared" si="1"/>
        <v/>
      </c>
      <c r="H93" s="15"/>
    </row>
    <row r="94" spans="1:8" x14ac:dyDescent="0.3">
      <c r="A94" s="15"/>
      <c r="B94" s="26"/>
      <c r="C94" s="27"/>
      <c r="D94" s="27"/>
      <c r="E94" s="28"/>
      <c r="F94" s="29"/>
      <c r="G94" s="30" t="str">
        <f t="shared" si="1"/>
        <v/>
      </c>
      <c r="H94" s="15"/>
    </row>
    <row r="95" spans="1:8" x14ac:dyDescent="0.3">
      <c r="A95" s="15"/>
      <c r="B95" s="31"/>
      <c r="C95" s="32"/>
      <c r="D95" s="32"/>
      <c r="E95" s="33"/>
      <c r="F95" s="34"/>
      <c r="G95" s="35" t="str">
        <f t="shared" si="1"/>
        <v/>
      </c>
      <c r="H95" s="15"/>
    </row>
    <row r="96" spans="1:8" x14ac:dyDescent="0.3">
      <c r="A96" s="15"/>
      <c r="B96" s="26"/>
      <c r="C96" s="27"/>
      <c r="D96" s="27"/>
      <c r="E96" s="28"/>
      <c r="F96" s="29"/>
      <c r="G96" s="30" t="str">
        <f t="shared" si="1"/>
        <v/>
      </c>
      <c r="H96" s="15"/>
    </row>
    <row r="97" spans="1:8" x14ac:dyDescent="0.3">
      <c r="A97" s="15"/>
      <c r="B97" s="31"/>
      <c r="C97" s="32"/>
      <c r="D97" s="32"/>
      <c r="E97" s="33"/>
      <c r="F97" s="34"/>
      <c r="G97" s="35" t="str">
        <f t="shared" si="1"/>
        <v/>
      </c>
      <c r="H97" s="15"/>
    </row>
    <row r="98" spans="1:8" x14ac:dyDescent="0.3">
      <c r="A98" s="15"/>
      <c r="B98" s="26"/>
      <c r="C98" s="27"/>
      <c r="D98" s="27"/>
      <c r="E98" s="28"/>
      <c r="F98" s="29"/>
      <c r="G98" s="30" t="str">
        <f t="shared" si="1"/>
        <v/>
      </c>
      <c r="H98" s="15"/>
    </row>
    <row r="99" spans="1:8" x14ac:dyDescent="0.3">
      <c r="A99" s="15"/>
      <c r="B99" s="31"/>
      <c r="C99" s="32"/>
      <c r="D99" s="32"/>
      <c r="E99" s="33"/>
      <c r="F99" s="34"/>
      <c r="G99" s="35" t="str">
        <f t="shared" si="1"/>
        <v/>
      </c>
      <c r="H99" s="15"/>
    </row>
    <row r="100" spans="1:8" x14ac:dyDescent="0.3">
      <c r="A100" s="15"/>
      <c r="B100" s="26"/>
      <c r="C100" s="27"/>
      <c r="D100" s="27"/>
      <c r="E100" s="28"/>
      <c r="F100" s="29"/>
      <c r="G100" s="30" t="str">
        <f t="shared" si="1"/>
        <v/>
      </c>
      <c r="H100" s="15"/>
    </row>
    <row r="101" spans="1:8" x14ac:dyDescent="0.3">
      <c r="A101" s="15"/>
      <c r="B101" s="31"/>
      <c r="C101" s="32"/>
      <c r="D101" s="32"/>
      <c r="E101" s="33"/>
      <c r="F101" s="34"/>
      <c r="G101" s="35" t="str">
        <f t="shared" si="1"/>
        <v/>
      </c>
      <c r="H101" s="15"/>
    </row>
    <row r="102" spans="1:8" x14ac:dyDescent="0.3">
      <c r="A102" s="15"/>
      <c r="B102" s="26"/>
      <c r="C102" s="27"/>
      <c r="D102" s="27"/>
      <c r="E102" s="28"/>
      <c r="F102" s="29"/>
      <c r="G102" s="30" t="str">
        <f t="shared" si="1"/>
        <v/>
      </c>
      <c r="H102" s="15"/>
    </row>
    <row r="103" spans="1:8" x14ac:dyDescent="0.3">
      <c r="A103" s="15"/>
      <c r="B103" s="31"/>
      <c r="C103" s="32"/>
      <c r="D103" s="32"/>
      <c r="E103" s="33"/>
      <c r="F103" s="34"/>
      <c r="G103" s="35" t="str">
        <f t="shared" si="1"/>
        <v/>
      </c>
      <c r="H103" s="15"/>
    </row>
    <row r="104" spans="1:8" x14ac:dyDescent="0.3">
      <c r="A104" s="15"/>
      <c r="B104" s="26"/>
      <c r="C104" s="27"/>
      <c r="D104" s="27"/>
      <c r="E104" s="28"/>
      <c r="F104" s="29"/>
      <c r="G104" s="30" t="str">
        <f t="shared" si="1"/>
        <v/>
      </c>
      <c r="H104" s="15"/>
    </row>
    <row r="105" spans="1:8" x14ac:dyDescent="0.3">
      <c r="A105" s="15"/>
      <c r="B105" s="31"/>
      <c r="C105" s="32"/>
      <c r="D105" s="32"/>
      <c r="E105" s="33"/>
      <c r="F105" s="34"/>
      <c r="G105" s="35" t="str">
        <f t="shared" si="1"/>
        <v/>
      </c>
      <c r="H105" s="15"/>
    </row>
    <row r="106" spans="1:8" x14ac:dyDescent="0.3">
      <c r="A106" s="15"/>
      <c r="B106" s="26"/>
      <c r="C106" s="27"/>
      <c r="D106" s="27"/>
      <c r="E106" s="28"/>
      <c r="F106" s="29"/>
      <c r="G106" s="30" t="str">
        <f t="shared" si="1"/>
        <v/>
      </c>
      <c r="H106" s="15"/>
    </row>
    <row r="107" spans="1:8" x14ac:dyDescent="0.3">
      <c r="A107" s="15"/>
      <c r="B107" s="31"/>
      <c r="C107" s="32"/>
      <c r="D107" s="32"/>
      <c r="E107" s="33"/>
      <c r="F107" s="34"/>
      <c r="G107" s="35" t="str">
        <f t="shared" si="1"/>
        <v/>
      </c>
      <c r="H107" s="15"/>
    </row>
    <row r="108" spans="1:8" x14ac:dyDescent="0.3">
      <c r="A108" s="15"/>
      <c r="B108" s="26"/>
      <c r="C108" s="27"/>
      <c r="D108" s="27"/>
      <c r="E108" s="28"/>
      <c r="F108" s="29"/>
      <c r="G108" s="30" t="str">
        <f t="shared" si="1"/>
        <v/>
      </c>
      <c r="H108" s="15"/>
    </row>
    <row r="109" spans="1:8" x14ac:dyDescent="0.3">
      <c r="A109" s="15"/>
      <c r="B109" s="31"/>
      <c r="C109" s="32"/>
      <c r="D109" s="32"/>
      <c r="E109" s="33"/>
      <c r="F109" s="34"/>
      <c r="G109" s="35" t="str">
        <f t="shared" si="1"/>
        <v/>
      </c>
      <c r="H109" s="15"/>
    </row>
    <row r="110" spans="1:8" x14ac:dyDescent="0.3">
      <c r="A110" s="15"/>
      <c r="B110" s="26"/>
      <c r="C110" s="27"/>
      <c r="D110" s="27"/>
      <c r="E110" s="28"/>
      <c r="F110" s="29"/>
      <c r="G110" s="30" t="str">
        <f t="shared" si="1"/>
        <v/>
      </c>
      <c r="H110" s="15"/>
    </row>
    <row r="111" spans="1:8" x14ac:dyDescent="0.3">
      <c r="A111" s="15"/>
      <c r="B111" s="31"/>
      <c r="C111" s="32"/>
      <c r="D111" s="32"/>
      <c r="E111" s="33"/>
      <c r="F111" s="34"/>
      <c r="G111" s="35" t="str">
        <f t="shared" si="1"/>
        <v/>
      </c>
      <c r="H111" s="15"/>
    </row>
    <row r="112" spans="1:8" x14ac:dyDescent="0.3">
      <c r="A112" s="15"/>
      <c r="B112" s="26"/>
      <c r="C112" s="27"/>
      <c r="D112" s="27"/>
      <c r="E112" s="28"/>
      <c r="F112" s="29"/>
      <c r="G112" s="30" t="str">
        <f t="shared" si="1"/>
        <v/>
      </c>
      <c r="H112" s="15"/>
    </row>
    <row r="113" spans="1:8" x14ac:dyDescent="0.3">
      <c r="A113" s="15"/>
      <c r="B113" s="31"/>
      <c r="C113" s="32"/>
      <c r="D113" s="32"/>
      <c r="E113" s="33"/>
      <c r="F113" s="34"/>
      <c r="G113" s="35" t="str">
        <f t="shared" si="1"/>
        <v/>
      </c>
      <c r="H113" s="15"/>
    </row>
    <row r="114" spans="1:8" x14ac:dyDescent="0.3">
      <c r="A114" s="15"/>
      <c r="B114" s="26"/>
      <c r="C114" s="27"/>
      <c r="D114" s="27"/>
      <c r="E114" s="28"/>
      <c r="F114" s="29"/>
      <c r="G114" s="30" t="str">
        <f t="shared" si="1"/>
        <v/>
      </c>
      <c r="H114" s="15"/>
    </row>
    <row r="115" spans="1:8" x14ac:dyDescent="0.3">
      <c r="A115" s="15"/>
      <c r="B115" s="31"/>
      <c r="C115" s="32"/>
      <c r="D115" s="32"/>
      <c r="E115" s="33"/>
      <c r="F115" s="34"/>
      <c r="G115" s="35" t="str">
        <f t="shared" si="1"/>
        <v/>
      </c>
      <c r="H115" s="15"/>
    </row>
    <row r="116" spans="1:8" x14ac:dyDescent="0.3">
      <c r="A116" s="15"/>
      <c r="B116" s="26"/>
      <c r="C116" s="27"/>
      <c r="D116" s="27"/>
      <c r="E116" s="28"/>
      <c r="F116" s="29"/>
      <c r="G116" s="30" t="str">
        <f t="shared" si="1"/>
        <v/>
      </c>
      <c r="H116" s="15"/>
    </row>
    <row r="117" spans="1:8" x14ac:dyDescent="0.3">
      <c r="A117" s="15"/>
      <c r="B117" s="31"/>
      <c r="C117" s="32"/>
      <c r="D117" s="32"/>
      <c r="E117" s="33"/>
      <c r="F117" s="34"/>
      <c r="G117" s="35" t="str">
        <f t="shared" si="1"/>
        <v/>
      </c>
      <c r="H117" s="15"/>
    </row>
    <row r="118" spans="1:8" x14ac:dyDescent="0.3">
      <c r="A118" s="15"/>
      <c r="B118" s="26"/>
      <c r="C118" s="27"/>
      <c r="D118" s="27"/>
      <c r="E118" s="28"/>
      <c r="F118" s="29"/>
      <c r="G118" s="30" t="str">
        <f t="shared" si="1"/>
        <v/>
      </c>
      <c r="H118" s="15"/>
    </row>
    <row r="119" spans="1:8" x14ac:dyDescent="0.3">
      <c r="A119" s="15"/>
      <c r="B119" s="31"/>
      <c r="C119" s="32"/>
      <c r="D119" s="32"/>
      <c r="E119" s="33"/>
      <c r="F119" s="34"/>
      <c r="G119" s="35" t="str">
        <f t="shared" si="1"/>
        <v/>
      </c>
      <c r="H119" s="15"/>
    </row>
    <row r="120" spans="1:8" x14ac:dyDescent="0.3">
      <c r="A120" s="15"/>
      <c r="B120" s="26"/>
      <c r="C120" s="27"/>
      <c r="D120" s="27"/>
      <c r="E120" s="28"/>
      <c r="F120" s="29"/>
      <c r="G120" s="30" t="str">
        <f t="shared" si="1"/>
        <v/>
      </c>
      <c r="H120" s="15"/>
    </row>
    <row r="121" spans="1:8" x14ac:dyDescent="0.3">
      <c r="A121" s="15"/>
      <c r="B121" s="31"/>
      <c r="C121" s="32"/>
      <c r="D121" s="32"/>
      <c r="E121" s="33"/>
      <c r="F121" s="34"/>
      <c r="G121" s="35" t="str">
        <f t="shared" si="1"/>
        <v/>
      </c>
      <c r="H121" s="15"/>
    </row>
    <row r="122" spans="1:8" x14ac:dyDescent="0.3">
      <c r="A122" s="15"/>
      <c r="B122" s="26"/>
      <c r="C122" s="27"/>
      <c r="D122" s="27"/>
      <c r="E122" s="28"/>
      <c r="F122" s="29"/>
      <c r="G122" s="30" t="str">
        <f t="shared" si="1"/>
        <v/>
      </c>
      <c r="H122" s="15"/>
    </row>
    <row r="123" spans="1:8" x14ac:dyDescent="0.3">
      <c r="A123" s="15"/>
      <c r="B123" s="31"/>
      <c r="C123" s="32"/>
      <c r="D123" s="32"/>
      <c r="E123" s="33"/>
      <c r="F123" s="34"/>
      <c r="G123" s="35" t="str">
        <f t="shared" si="1"/>
        <v/>
      </c>
      <c r="H123" s="15"/>
    </row>
    <row r="124" spans="1:8" x14ac:dyDescent="0.3">
      <c r="A124" s="15"/>
      <c r="B124" s="26"/>
      <c r="C124" s="27"/>
      <c r="D124" s="27"/>
      <c r="E124" s="28"/>
      <c r="F124" s="29"/>
      <c r="G124" s="30" t="str">
        <f t="shared" si="1"/>
        <v/>
      </c>
      <c r="H124" s="15"/>
    </row>
    <row r="125" spans="1:8" x14ac:dyDescent="0.3">
      <c r="A125" s="15"/>
      <c r="B125" s="31"/>
      <c r="C125" s="32"/>
      <c r="D125" s="32"/>
      <c r="E125" s="33"/>
      <c r="F125" s="34"/>
      <c r="G125" s="35" t="str">
        <f t="shared" si="1"/>
        <v/>
      </c>
      <c r="H125" s="15"/>
    </row>
    <row r="126" spans="1:8" x14ac:dyDescent="0.3">
      <c r="A126" s="15"/>
      <c r="B126" s="26"/>
      <c r="C126" s="27"/>
      <c r="D126" s="27"/>
      <c r="E126" s="28"/>
      <c r="F126" s="29"/>
      <c r="G126" s="30" t="str">
        <f t="shared" si="1"/>
        <v/>
      </c>
      <c r="H126" s="15"/>
    </row>
    <row r="127" spans="1:8" x14ac:dyDescent="0.3">
      <c r="A127" s="15"/>
      <c r="B127" s="31"/>
      <c r="C127" s="32"/>
      <c r="D127" s="32"/>
      <c r="E127" s="33"/>
      <c r="F127" s="34"/>
      <c r="G127" s="35" t="str">
        <f t="shared" si="1"/>
        <v/>
      </c>
      <c r="H127" s="15"/>
    </row>
    <row r="128" spans="1:8" x14ac:dyDescent="0.3">
      <c r="A128" s="15"/>
      <c r="B128" s="26"/>
      <c r="C128" s="27"/>
      <c r="D128" s="27"/>
      <c r="E128" s="28"/>
      <c r="F128" s="29"/>
      <c r="G128" s="30" t="str">
        <f t="shared" si="1"/>
        <v/>
      </c>
      <c r="H128" s="15"/>
    </row>
    <row r="129" spans="1:8" x14ac:dyDescent="0.3">
      <c r="A129" s="15"/>
      <c r="B129" s="31"/>
      <c r="C129" s="32"/>
      <c r="D129" s="32"/>
      <c r="E129" s="33"/>
      <c r="F129" s="34"/>
      <c r="G129" s="35" t="str">
        <f t="shared" si="1"/>
        <v/>
      </c>
      <c r="H129" s="15"/>
    </row>
    <row r="130" spans="1:8" x14ac:dyDescent="0.3">
      <c r="A130" s="15"/>
      <c r="B130" s="26"/>
      <c r="C130" s="27"/>
      <c r="D130" s="27"/>
      <c r="E130" s="28"/>
      <c r="F130" s="29"/>
      <c r="G130" s="30" t="str">
        <f t="shared" si="1"/>
        <v/>
      </c>
      <c r="H130" s="15"/>
    </row>
    <row r="131" spans="1:8" x14ac:dyDescent="0.3">
      <c r="A131" s="15"/>
      <c r="B131" s="31"/>
      <c r="C131" s="32"/>
      <c r="D131" s="32"/>
      <c r="E131" s="33"/>
      <c r="F131" s="34"/>
      <c r="G131" s="35" t="str">
        <f t="shared" si="1"/>
        <v/>
      </c>
      <c r="H131" s="15"/>
    </row>
    <row r="132" spans="1:8" x14ac:dyDescent="0.3">
      <c r="A132" s="15"/>
      <c r="B132" s="26"/>
      <c r="C132" s="27"/>
      <c r="D132" s="27"/>
      <c r="E132" s="28"/>
      <c r="F132" s="29"/>
      <c r="G132" s="30" t="str">
        <f t="shared" si="1"/>
        <v/>
      </c>
      <c r="H132" s="15"/>
    </row>
    <row r="133" spans="1:8" x14ac:dyDescent="0.3">
      <c r="A133" s="15"/>
      <c r="B133" s="31"/>
      <c r="C133" s="32"/>
      <c r="D133" s="32"/>
      <c r="E133" s="33"/>
      <c r="F133" s="34"/>
      <c r="G133" s="35" t="str">
        <f t="shared" si="1"/>
        <v/>
      </c>
      <c r="H133" s="15"/>
    </row>
    <row r="134" spans="1:8" x14ac:dyDescent="0.3">
      <c r="A134" s="15"/>
      <c r="B134" s="26"/>
      <c r="C134" s="27"/>
      <c r="D134" s="27"/>
      <c r="E134" s="28"/>
      <c r="F134" s="29"/>
      <c r="G134" s="30" t="str">
        <f t="shared" si="1"/>
        <v/>
      </c>
      <c r="H134" s="15"/>
    </row>
    <row r="135" spans="1:8" x14ac:dyDescent="0.3">
      <c r="A135" s="15"/>
      <c r="B135" s="31"/>
      <c r="C135" s="32"/>
      <c r="D135" s="32"/>
      <c r="E135" s="33"/>
      <c r="F135" s="34"/>
      <c r="G135" s="35" t="str">
        <f t="shared" si="1"/>
        <v/>
      </c>
      <c r="H135" s="15"/>
    </row>
    <row r="136" spans="1:8" x14ac:dyDescent="0.3">
      <c r="A136" s="15"/>
      <c r="B136" s="26"/>
      <c r="C136" s="27"/>
      <c r="D136" s="27"/>
      <c r="E136" s="28"/>
      <c r="F136" s="29"/>
      <c r="G136" s="30" t="str">
        <f t="shared" ref="G136:G199" si="2">IF(B136="","",CHOOSE(MONTH(B136),"Janvier","Février","Mars","Avril","Mai","Juin","Juillet","Août","Septembre","Octobre","Novembre","Décembre"))</f>
        <v/>
      </c>
      <c r="H136" s="15"/>
    </row>
    <row r="137" spans="1:8" x14ac:dyDescent="0.3">
      <c r="A137" s="15"/>
      <c r="B137" s="31"/>
      <c r="C137" s="32"/>
      <c r="D137" s="32"/>
      <c r="E137" s="33"/>
      <c r="F137" s="34"/>
      <c r="G137" s="35" t="str">
        <f t="shared" si="2"/>
        <v/>
      </c>
      <c r="H137" s="15"/>
    </row>
    <row r="138" spans="1:8" x14ac:dyDescent="0.3">
      <c r="A138" s="15"/>
      <c r="B138" s="26"/>
      <c r="C138" s="27"/>
      <c r="D138" s="27"/>
      <c r="E138" s="28"/>
      <c r="F138" s="29"/>
      <c r="G138" s="30" t="str">
        <f t="shared" si="2"/>
        <v/>
      </c>
      <c r="H138" s="15"/>
    </row>
    <row r="139" spans="1:8" x14ac:dyDescent="0.3">
      <c r="A139" s="15"/>
      <c r="B139" s="31"/>
      <c r="C139" s="32"/>
      <c r="D139" s="32"/>
      <c r="E139" s="33"/>
      <c r="F139" s="34"/>
      <c r="G139" s="35" t="str">
        <f t="shared" si="2"/>
        <v/>
      </c>
      <c r="H139" s="15"/>
    </row>
    <row r="140" spans="1:8" x14ac:dyDescent="0.3">
      <c r="A140" s="15"/>
      <c r="B140" s="26"/>
      <c r="C140" s="27"/>
      <c r="D140" s="27"/>
      <c r="E140" s="28"/>
      <c r="F140" s="29"/>
      <c r="G140" s="30" t="str">
        <f t="shared" si="2"/>
        <v/>
      </c>
      <c r="H140" s="15"/>
    </row>
    <row r="141" spans="1:8" x14ac:dyDescent="0.3">
      <c r="A141" s="15"/>
      <c r="B141" s="31"/>
      <c r="C141" s="32"/>
      <c r="D141" s="32"/>
      <c r="E141" s="33"/>
      <c r="F141" s="34"/>
      <c r="G141" s="35" t="str">
        <f t="shared" si="2"/>
        <v/>
      </c>
      <c r="H141" s="15"/>
    </row>
    <row r="142" spans="1:8" x14ac:dyDescent="0.3">
      <c r="A142" s="15"/>
      <c r="B142" s="26"/>
      <c r="C142" s="27"/>
      <c r="D142" s="27"/>
      <c r="E142" s="28"/>
      <c r="F142" s="29"/>
      <c r="G142" s="30" t="str">
        <f t="shared" si="2"/>
        <v/>
      </c>
      <c r="H142" s="15"/>
    </row>
    <row r="143" spans="1:8" x14ac:dyDescent="0.3">
      <c r="A143" s="15"/>
      <c r="B143" s="31"/>
      <c r="C143" s="32"/>
      <c r="D143" s="32"/>
      <c r="E143" s="33"/>
      <c r="F143" s="34"/>
      <c r="G143" s="35" t="str">
        <f t="shared" si="2"/>
        <v/>
      </c>
      <c r="H143" s="15"/>
    </row>
    <row r="144" spans="1:8" x14ac:dyDescent="0.3">
      <c r="A144" s="15"/>
      <c r="B144" s="26"/>
      <c r="C144" s="27"/>
      <c r="D144" s="27"/>
      <c r="E144" s="28"/>
      <c r="F144" s="29"/>
      <c r="G144" s="30" t="str">
        <f t="shared" si="2"/>
        <v/>
      </c>
      <c r="H144" s="15"/>
    </row>
    <row r="145" spans="1:8" x14ac:dyDescent="0.3">
      <c r="A145" s="15"/>
      <c r="B145" s="31"/>
      <c r="C145" s="32"/>
      <c r="D145" s="32"/>
      <c r="E145" s="33"/>
      <c r="F145" s="34"/>
      <c r="G145" s="35" t="str">
        <f t="shared" si="2"/>
        <v/>
      </c>
      <c r="H145" s="15"/>
    </row>
    <row r="146" spans="1:8" x14ac:dyDescent="0.3">
      <c r="A146" s="15"/>
      <c r="B146" s="26"/>
      <c r="C146" s="27"/>
      <c r="D146" s="27"/>
      <c r="E146" s="28"/>
      <c r="F146" s="29"/>
      <c r="G146" s="30" t="str">
        <f t="shared" si="2"/>
        <v/>
      </c>
      <c r="H146" s="15"/>
    </row>
    <row r="147" spans="1:8" x14ac:dyDescent="0.3">
      <c r="A147" s="15"/>
      <c r="B147" s="31"/>
      <c r="C147" s="32"/>
      <c r="D147" s="32"/>
      <c r="E147" s="33"/>
      <c r="F147" s="34"/>
      <c r="G147" s="35" t="str">
        <f t="shared" si="2"/>
        <v/>
      </c>
      <c r="H147" s="15"/>
    </row>
    <row r="148" spans="1:8" x14ac:dyDescent="0.3">
      <c r="A148" s="15"/>
      <c r="B148" s="26"/>
      <c r="C148" s="27"/>
      <c r="D148" s="27"/>
      <c r="E148" s="28"/>
      <c r="F148" s="29"/>
      <c r="G148" s="30" t="str">
        <f t="shared" si="2"/>
        <v/>
      </c>
      <c r="H148" s="15"/>
    </row>
    <row r="149" spans="1:8" x14ac:dyDescent="0.3">
      <c r="A149" s="15"/>
      <c r="B149" s="31"/>
      <c r="C149" s="32"/>
      <c r="D149" s="32"/>
      <c r="E149" s="33"/>
      <c r="F149" s="34"/>
      <c r="G149" s="35" t="str">
        <f t="shared" si="2"/>
        <v/>
      </c>
      <c r="H149" s="15"/>
    </row>
    <row r="150" spans="1:8" x14ac:dyDescent="0.3">
      <c r="A150" s="15"/>
      <c r="B150" s="26"/>
      <c r="C150" s="27"/>
      <c r="D150" s="27"/>
      <c r="E150" s="28"/>
      <c r="F150" s="29"/>
      <c r="G150" s="30" t="str">
        <f t="shared" si="2"/>
        <v/>
      </c>
      <c r="H150" s="15"/>
    </row>
    <row r="151" spans="1:8" x14ac:dyDescent="0.3">
      <c r="A151" s="15"/>
      <c r="B151" s="31"/>
      <c r="C151" s="32"/>
      <c r="D151" s="32"/>
      <c r="E151" s="33"/>
      <c r="F151" s="34"/>
      <c r="G151" s="35" t="str">
        <f t="shared" si="2"/>
        <v/>
      </c>
      <c r="H151" s="15"/>
    </row>
    <row r="152" spans="1:8" x14ac:dyDescent="0.3">
      <c r="A152" s="15"/>
      <c r="B152" s="26"/>
      <c r="C152" s="27"/>
      <c r="D152" s="27"/>
      <c r="E152" s="28"/>
      <c r="F152" s="29"/>
      <c r="G152" s="30" t="str">
        <f t="shared" si="2"/>
        <v/>
      </c>
      <c r="H152" s="15"/>
    </row>
    <row r="153" spans="1:8" x14ac:dyDescent="0.3">
      <c r="A153" s="15"/>
      <c r="B153" s="31"/>
      <c r="C153" s="32"/>
      <c r="D153" s="32"/>
      <c r="E153" s="33"/>
      <c r="F153" s="34"/>
      <c r="G153" s="35" t="str">
        <f t="shared" si="2"/>
        <v/>
      </c>
      <c r="H153" s="15"/>
    </row>
    <row r="154" spans="1:8" x14ac:dyDescent="0.3">
      <c r="A154" s="15"/>
      <c r="B154" s="26"/>
      <c r="C154" s="27"/>
      <c r="D154" s="27"/>
      <c r="E154" s="28"/>
      <c r="F154" s="29"/>
      <c r="G154" s="30" t="str">
        <f t="shared" si="2"/>
        <v/>
      </c>
      <c r="H154" s="15"/>
    </row>
    <row r="155" spans="1:8" x14ac:dyDescent="0.3">
      <c r="A155" s="15"/>
      <c r="B155" s="31"/>
      <c r="C155" s="32"/>
      <c r="D155" s="32"/>
      <c r="E155" s="33"/>
      <c r="F155" s="34"/>
      <c r="G155" s="35" t="str">
        <f t="shared" si="2"/>
        <v/>
      </c>
      <c r="H155" s="15"/>
    </row>
    <row r="156" spans="1:8" x14ac:dyDescent="0.3">
      <c r="A156" s="15"/>
      <c r="B156" s="26"/>
      <c r="C156" s="27"/>
      <c r="D156" s="27"/>
      <c r="E156" s="28"/>
      <c r="F156" s="29"/>
      <c r="G156" s="30" t="str">
        <f t="shared" si="2"/>
        <v/>
      </c>
      <c r="H156" s="15"/>
    </row>
    <row r="157" spans="1:8" x14ac:dyDescent="0.3">
      <c r="A157" s="15"/>
      <c r="B157" s="31"/>
      <c r="C157" s="32"/>
      <c r="D157" s="32"/>
      <c r="E157" s="33"/>
      <c r="F157" s="34"/>
      <c r="G157" s="35" t="str">
        <f t="shared" si="2"/>
        <v/>
      </c>
      <c r="H157" s="15"/>
    </row>
    <row r="158" spans="1:8" x14ac:dyDescent="0.3">
      <c r="A158" s="15"/>
      <c r="B158" s="26"/>
      <c r="C158" s="27"/>
      <c r="D158" s="27"/>
      <c r="E158" s="28"/>
      <c r="F158" s="29"/>
      <c r="G158" s="30" t="str">
        <f t="shared" si="2"/>
        <v/>
      </c>
      <c r="H158" s="15"/>
    </row>
    <row r="159" spans="1:8" x14ac:dyDescent="0.3">
      <c r="A159" s="15"/>
      <c r="B159" s="31"/>
      <c r="C159" s="32"/>
      <c r="D159" s="32"/>
      <c r="E159" s="33"/>
      <c r="F159" s="34"/>
      <c r="G159" s="35" t="str">
        <f t="shared" si="2"/>
        <v/>
      </c>
      <c r="H159" s="15"/>
    </row>
    <row r="160" spans="1:8" x14ac:dyDescent="0.3">
      <c r="A160" s="15"/>
      <c r="B160" s="26"/>
      <c r="C160" s="27"/>
      <c r="D160" s="27"/>
      <c r="E160" s="28"/>
      <c r="F160" s="29"/>
      <c r="G160" s="30" t="str">
        <f t="shared" si="2"/>
        <v/>
      </c>
      <c r="H160" s="15"/>
    </row>
    <row r="161" spans="1:8" x14ac:dyDescent="0.3">
      <c r="A161" s="15"/>
      <c r="B161" s="31"/>
      <c r="C161" s="32"/>
      <c r="D161" s="32"/>
      <c r="E161" s="33"/>
      <c r="F161" s="34"/>
      <c r="G161" s="35" t="str">
        <f t="shared" si="2"/>
        <v/>
      </c>
      <c r="H161" s="15"/>
    </row>
    <row r="162" spans="1:8" x14ac:dyDescent="0.3">
      <c r="A162" s="15"/>
      <c r="B162" s="26"/>
      <c r="C162" s="27"/>
      <c r="D162" s="27"/>
      <c r="E162" s="28"/>
      <c r="F162" s="29"/>
      <c r="G162" s="30" t="str">
        <f t="shared" si="2"/>
        <v/>
      </c>
      <c r="H162" s="15"/>
    </row>
    <row r="163" spans="1:8" x14ac:dyDescent="0.3">
      <c r="A163" s="15"/>
      <c r="B163" s="31"/>
      <c r="C163" s="32"/>
      <c r="D163" s="32"/>
      <c r="E163" s="33"/>
      <c r="F163" s="34"/>
      <c r="G163" s="35" t="str">
        <f t="shared" si="2"/>
        <v/>
      </c>
      <c r="H163" s="15"/>
    </row>
    <row r="164" spans="1:8" x14ac:dyDescent="0.3">
      <c r="A164" s="15"/>
      <c r="B164" s="26"/>
      <c r="C164" s="27"/>
      <c r="D164" s="27"/>
      <c r="E164" s="28"/>
      <c r="F164" s="29"/>
      <c r="G164" s="30" t="str">
        <f t="shared" si="2"/>
        <v/>
      </c>
      <c r="H164" s="15"/>
    </row>
    <row r="165" spans="1:8" x14ac:dyDescent="0.3">
      <c r="A165" s="15"/>
      <c r="B165" s="31"/>
      <c r="C165" s="32"/>
      <c r="D165" s="32"/>
      <c r="E165" s="33"/>
      <c r="F165" s="34"/>
      <c r="G165" s="35" t="str">
        <f t="shared" si="2"/>
        <v/>
      </c>
      <c r="H165" s="15"/>
    </row>
    <row r="166" spans="1:8" x14ac:dyDescent="0.3">
      <c r="A166" s="15"/>
      <c r="B166" s="26"/>
      <c r="C166" s="27"/>
      <c r="D166" s="27"/>
      <c r="E166" s="28"/>
      <c r="F166" s="29"/>
      <c r="G166" s="30" t="str">
        <f t="shared" si="2"/>
        <v/>
      </c>
      <c r="H166" s="15"/>
    </row>
    <row r="167" spans="1:8" x14ac:dyDescent="0.3">
      <c r="A167" s="15"/>
      <c r="B167" s="31"/>
      <c r="C167" s="32"/>
      <c r="D167" s="32"/>
      <c r="E167" s="33"/>
      <c r="F167" s="34"/>
      <c r="G167" s="35" t="str">
        <f t="shared" si="2"/>
        <v/>
      </c>
      <c r="H167" s="15"/>
    </row>
    <row r="168" spans="1:8" x14ac:dyDescent="0.3">
      <c r="A168" s="15"/>
      <c r="B168" s="26"/>
      <c r="C168" s="27"/>
      <c r="D168" s="27"/>
      <c r="E168" s="28"/>
      <c r="F168" s="29"/>
      <c r="G168" s="30" t="str">
        <f t="shared" si="2"/>
        <v/>
      </c>
      <c r="H168" s="15"/>
    </row>
    <row r="169" spans="1:8" x14ac:dyDescent="0.3">
      <c r="A169" s="15"/>
      <c r="B169" s="31"/>
      <c r="C169" s="32"/>
      <c r="D169" s="32"/>
      <c r="E169" s="33"/>
      <c r="F169" s="34"/>
      <c r="G169" s="35" t="str">
        <f t="shared" si="2"/>
        <v/>
      </c>
      <c r="H169" s="15"/>
    </row>
    <row r="170" spans="1:8" x14ac:dyDescent="0.3">
      <c r="A170" s="15"/>
      <c r="B170" s="26"/>
      <c r="C170" s="27"/>
      <c r="D170" s="27"/>
      <c r="E170" s="28"/>
      <c r="F170" s="29"/>
      <c r="G170" s="30" t="str">
        <f t="shared" si="2"/>
        <v/>
      </c>
      <c r="H170" s="15"/>
    </row>
    <row r="171" spans="1:8" x14ac:dyDescent="0.3">
      <c r="A171" s="15"/>
      <c r="B171" s="31"/>
      <c r="C171" s="32"/>
      <c r="D171" s="32"/>
      <c r="E171" s="33"/>
      <c r="F171" s="34"/>
      <c r="G171" s="35" t="str">
        <f t="shared" si="2"/>
        <v/>
      </c>
      <c r="H171" s="15"/>
    </row>
    <row r="172" spans="1:8" x14ac:dyDescent="0.3">
      <c r="A172" s="15"/>
      <c r="B172" s="26"/>
      <c r="C172" s="27"/>
      <c r="D172" s="27"/>
      <c r="E172" s="28"/>
      <c r="F172" s="29"/>
      <c r="G172" s="30" t="str">
        <f t="shared" si="2"/>
        <v/>
      </c>
      <c r="H172" s="15"/>
    </row>
    <row r="173" spans="1:8" x14ac:dyDescent="0.3">
      <c r="A173" s="15"/>
      <c r="B173" s="31"/>
      <c r="C173" s="32"/>
      <c r="D173" s="32"/>
      <c r="E173" s="33"/>
      <c r="F173" s="34"/>
      <c r="G173" s="35" t="str">
        <f t="shared" si="2"/>
        <v/>
      </c>
      <c r="H173" s="15"/>
    </row>
    <row r="174" spans="1:8" x14ac:dyDescent="0.3">
      <c r="A174" s="15"/>
      <c r="B174" s="26"/>
      <c r="C174" s="27"/>
      <c r="D174" s="27"/>
      <c r="E174" s="28"/>
      <c r="F174" s="29"/>
      <c r="G174" s="30" t="str">
        <f t="shared" si="2"/>
        <v/>
      </c>
      <c r="H174" s="15"/>
    </row>
    <row r="175" spans="1:8" x14ac:dyDescent="0.3">
      <c r="A175" s="15"/>
      <c r="B175" s="31"/>
      <c r="C175" s="32"/>
      <c r="D175" s="32"/>
      <c r="E175" s="33"/>
      <c r="F175" s="34"/>
      <c r="G175" s="35" t="str">
        <f t="shared" si="2"/>
        <v/>
      </c>
      <c r="H175" s="15"/>
    </row>
    <row r="176" spans="1:8" x14ac:dyDescent="0.3">
      <c r="A176" s="15"/>
      <c r="B176" s="26"/>
      <c r="C176" s="27"/>
      <c r="D176" s="27"/>
      <c r="E176" s="28"/>
      <c r="F176" s="29"/>
      <c r="G176" s="30" t="str">
        <f t="shared" si="2"/>
        <v/>
      </c>
      <c r="H176" s="15"/>
    </row>
    <row r="177" spans="1:8" x14ac:dyDescent="0.3">
      <c r="A177" s="15"/>
      <c r="B177" s="31"/>
      <c r="C177" s="32"/>
      <c r="D177" s="32"/>
      <c r="E177" s="33"/>
      <c r="F177" s="34"/>
      <c r="G177" s="35" t="str">
        <f t="shared" si="2"/>
        <v/>
      </c>
      <c r="H177" s="15"/>
    </row>
    <row r="178" spans="1:8" x14ac:dyDescent="0.3">
      <c r="A178" s="15"/>
      <c r="B178" s="26"/>
      <c r="C178" s="27"/>
      <c r="D178" s="27"/>
      <c r="E178" s="28"/>
      <c r="F178" s="29"/>
      <c r="G178" s="30" t="str">
        <f t="shared" si="2"/>
        <v/>
      </c>
      <c r="H178" s="15"/>
    </row>
    <row r="179" spans="1:8" x14ac:dyDescent="0.3">
      <c r="A179" s="15"/>
      <c r="B179" s="31"/>
      <c r="C179" s="32"/>
      <c r="D179" s="32"/>
      <c r="E179" s="33"/>
      <c r="F179" s="34"/>
      <c r="G179" s="35" t="str">
        <f t="shared" si="2"/>
        <v/>
      </c>
      <c r="H179" s="15"/>
    </row>
    <row r="180" spans="1:8" x14ac:dyDescent="0.3">
      <c r="A180" s="15"/>
      <c r="B180" s="26"/>
      <c r="C180" s="27"/>
      <c r="D180" s="27"/>
      <c r="E180" s="28"/>
      <c r="F180" s="29"/>
      <c r="G180" s="30" t="str">
        <f t="shared" si="2"/>
        <v/>
      </c>
      <c r="H180" s="15"/>
    </row>
    <row r="181" spans="1:8" x14ac:dyDescent="0.3">
      <c r="A181" s="15"/>
      <c r="B181" s="31"/>
      <c r="C181" s="32"/>
      <c r="D181" s="32"/>
      <c r="E181" s="33"/>
      <c r="F181" s="34"/>
      <c r="G181" s="35" t="str">
        <f t="shared" si="2"/>
        <v/>
      </c>
      <c r="H181" s="15"/>
    </row>
    <row r="182" spans="1:8" x14ac:dyDescent="0.3">
      <c r="A182" s="15"/>
      <c r="B182" s="26"/>
      <c r="C182" s="27"/>
      <c r="D182" s="27"/>
      <c r="E182" s="28"/>
      <c r="F182" s="29"/>
      <c r="G182" s="30" t="str">
        <f t="shared" si="2"/>
        <v/>
      </c>
      <c r="H182" s="15"/>
    </row>
    <row r="183" spans="1:8" x14ac:dyDescent="0.3">
      <c r="A183" s="15"/>
      <c r="B183" s="31"/>
      <c r="C183" s="32"/>
      <c r="D183" s="32"/>
      <c r="E183" s="33"/>
      <c r="F183" s="34"/>
      <c r="G183" s="35" t="str">
        <f t="shared" si="2"/>
        <v/>
      </c>
      <c r="H183" s="15"/>
    </row>
    <row r="184" spans="1:8" x14ac:dyDescent="0.3">
      <c r="A184" s="15"/>
      <c r="B184" s="26"/>
      <c r="C184" s="27"/>
      <c r="D184" s="27"/>
      <c r="E184" s="28"/>
      <c r="F184" s="29"/>
      <c r="G184" s="30" t="str">
        <f t="shared" si="2"/>
        <v/>
      </c>
      <c r="H184" s="15"/>
    </row>
    <row r="185" spans="1:8" x14ac:dyDescent="0.3">
      <c r="A185" s="15"/>
      <c r="B185" s="31"/>
      <c r="C185" s="32"/>
      <c r="D185" s="32"/>
      <c r="E185" s="33"/>
      <c r="F185" s="34"/>
      <c r="G185" s="35" t="str">
        <f t="shared" si="2"/>
        <v/>
      </c>
      <c r="H185" s="15"/>
    </row>
    <row r="186" spans="1:8" x14ac:dyDescent="0.3">
      <c r="A186" s="15"/>
      <c r="B186" s="26"/>
      <c r="C186" s="27"/>
      <c r="D186" s="27"/>
      <c r="E186" s="28"/>
      <c r="F186" s="29"/>
      <c r="G186" s="30" t="str">
        <f t="shared" si="2"/>
        <v/>
      </c>
      <c r="H186" s="15"/>
    </row>
    <row r="187" spans="1:8" x14ac:dyDescent="0.3">
      <c r="A187" s="15"/>
      <c r="B187" s="31"/>
      <c r="C187" s="32"/>
      <c r="D187" s="32"/>
      <c r="E187" s="33"/>
      <c r="F187" s="34"/>
      <c r="G187" s="35" t="str">
        <f t="shared" si="2"/>
        <v/>
      </c>
      <c r="H187" s="15"/>
    </row>
    <row r="188" spans="1:8" x14ac:dyDescent="0.3">
      <c r="A188" s="15"/>
      <c r="B188" s="26"/>
      <c r="C188" s="27"/>
      <c r="D188" s="27"/>
      <c r="E188" s="28"/>
      <c r="F188" s="29"/>
      <c r="G188" s="30" t="str">
        <f t="shared" si="2"/>
        <v/>
      </c>
      <c r="H188" s="15"/>
    </row>
    <row r="189" spans="1:8" x14ac:dyDescent="0.3">
      <c r="A189" s="15"/>
      <c r="B189" s="31"/>
      <c r="C189" s="32"/>
      <c r="D189" s="32"/>
      <c r="E189" s="33"/>
      <c r="F189" s="34"/>
      <c r="G189" s="35" t="str">
        <f t="shared" si="2"/>
        <v/>
      </c>
      <c r="H189" s="15"/>
    </row>
    <row r="190" spans="1:8" x14ac:dyDescent="0.3">
      <c r="A190" s="15"/>
      <c r="B190" s="26"/>
      <c r="C190" s="27"/>
      <c r="D190" s="27"/>
      <c r="E190" s="28"/>
      <c r="F190" s="29"/>
      <c r="G190" s="30" t="str">
        <f t="shared" si="2"/>
        <v/>
      </c>
      <c r="H190" s="15"/>
    </row>
    <row r="191" spans="1:8" x14ac:dyDescent="0.3">
      <c r="A191" s="15"/>
      <c r="B191" s="31"/>
      <c r="C191" s="32"/>
      <c r="D191" s="32"/>
      <c r="E191" s="33"/>
      <c r="F191" s="34"/>
      <c r="G191" s="35" t="str">
        <f t="shared" si="2"/>
        <v/>
      </c>
      <c r="H191" s="15"/>
    </row>
    <row r="192" spans="1:8" x14ac:dyDescent="0.3">
      <c r="A192" s="15"/>
      <c r="B192" s="26"/>
      <c r="C192" s="27"/>
      <c r="D192" s="27"/>
      <c r="E192" s="28"/>
      <c r="F192" s="29"/>
      <c r="G192" s="30" t="str">
        <f t="shared" si="2"/>
        <v/>
      </c>
      <c r="H192" s="15"/>
    </row>
    <row r="193" spans="1:8" x14ac:dyDescent="0.3">
      <c r="A193" s="15"/>
      <c r="B193" s="31"/>
      <c r="C193" s="32"/>
      <c r="D193" s="32"/>
      <c r="E193" s="33"/>
      <c r="F193" s="34"/>
      <c r="G193" s="35" t="str">
        <f t="shared" si="2"/>
        <v/>
      </c>
      <c r="H193" s="15"/>
    </row>
    <row r="194" spans="1:8" x14ac:dyDescent="0.3">
      <c r="A194" s="15"/>
      <c r="B194" s="26"/>
      <c r="C194" s="27"/>
      <c r="D194" s="27"/>
      <c r="E194" s="28"/>
      <c r="F194" s="29"/>
      <c r="G194" s="30" t="str">
        <f t="shared" si="2"/>
        <v/>
      </c>
      <c r="H194" s="15"/>
    </row>
    <row r="195" spans="1:8" x14ac:dyDescent="0.3">
      <c r="A195" s="15"/>
      <c r="B195" s="31"/>
      <c r="C195" s="32"/>
      <c r="D195" s="32"/>
      <c r="E195" s="33"/>
      <c r="F195" s="34"/>
      <c r="G195" s="35" t="str">
        <f t="shared" si="2"/>
        <v/>
      </c>
      <c r="H195" s="15"/>
    </row>
    <row r="196" spans="1:8" x14ac:dyDescent="0.3">
      <c r="A196" s="15"/>
      <c r="B196" s="26"/>
      <c r="C196" s="27"/>
      <c r="D196" s="27"/>
      <c r="E196" s="28"/>
      <c r="F196" s="29"/>
      <c r="G196" s="30" t="str">
        <f t="shared" si="2"/>
        <v/>
      </c>
      <c r="H196" s="15"/>
    </row>
    <row r="197" spans="1:8" x14ac:dyDescent="0.3">
      <c r="A197" s="15"/>
      <c r="B197" s="31"/>
      <c r="C197" s="32"/>
      <c r="D197" s="32"/>
      <c r="E197" s="33"/>
      <c r="F197" s="34"/>
      <c r="G197" s="35" t="str">
        <f t="shared" si="2"/>
        <v/>
      </c>
      <c r="H197" s="15"/>
    </row>
    <row r="198" spans="1:8" x14ac:dyDescent="0.3">
      <c r="A198" s="15"/>
      <c r="B198" s="26"/>
      <c r="C198" s="27"/>
      <c r="D198" s="27"/>
      <c r="E198" s="28"/>
      <c r="F198" s="29"/>
      <c r="G198" s="30" t="str">
        <f t="shared" si="2"/>
        <v/>
      </c>
      <c r="H198" s="15"/>
    </row>
    <row r="199" spans="1:8" x14ac:dyDescent="0.3">
      <c r="A199" s="15"/>
      <c r="B199" s="31"/>
      <c r="C199" s="32"/>
      <c r="D199" s="32"/>
      <c r="E199" s="33"/>
      <c r="F199" s="34"/>
      <c r="G199" s="35" t="str">
        <f t="shared" si="2"/>
        <v/>
      </c>
      <c r="H199" s="15"/>
    </row>
    <row r="200" spans="1:8" x14ac:dyDescent="0.3">
      <c r="A200" s="15"/>
      <c r="B200" s="26"/>
      <c r="C200" s="27"/>
      <c r="D200" s="27"/>
      <c r="E200" s="28"/>
      <c r="F200" s="29"/>
      <c r="G200" s="30" t="str">
        <f t="shared" ref="G200:G263" si="3">IF(B200="","",CHOOSE(MONTH(B200),"Janvier","Février","Mars","Avril","Mai","Juin","Juillet","Août","Septembre","Octobre","Novembre","Décembre"))</f>
        <v/>
      </c>
      <c r="H200" s="15"/>
    </row>
    <row r="201" spans="1:8" x14ac:dyDescent="0.3">
      <c r="A201" s="15"/>
      <c r="B201" s="31"/>
      <c r="C201" s="32"/>
      <c r="D201" s="32"/>
      <c r="E201" s="33"/>
      <c r="F201" s="34"/>
      <c r="G201" s="35" t="str">
        <f t="shared" si="3"/>
        <v/>
      </c>
      <c r="H201" s="15"/>
    </row>
    <row r="202" spans="1:8" x14ac:dyDescent="0.3">
      <c r="A202" s="15"/>
      <c r="B202" s="26"/>
      <c r="C202" s="27"/>
      <c r="D202" s="27"/>
      <c r="E202" s="28"/>
      <c r="F202" s="29"/>
      <c r="G202" s="30" t="str">
        <f t="shared" si="3"/>
        <v/>
      </c>
      <c r="H202" s="15"/>
    </row>
    <row r="203" spans="1:8" x14ac:dyDescent="0.3">
      <c r="A203" s="15"/>
      <c r="B203" s="31"/>
      <c r="C203" s="32"/>
      <c r="D203" s="32"/>
      <c r="E203" s="33"/>
      <c r="F203" s="34"/>
      <c r="G203" s="35" t="str">
        <f t="shared" si="3"/>
        <v/>
      </c>
      <c r="H203" s="15"/>
    </row>
    <row r="204" spans="1:8" x14ac:dyDescent="0.3">
      <c r="A204" s="15"/>
      <c r="B204" s="26"/>
      <c r="C204" s="27"/>
      <c r="D204" s="27"/>
      <c r="E204" s="28"/>
      <c r="F204" s="29"/>
      <c r="G204" s="30" t="str">
        <f t="shared" si="3"/>
        <v/>
      </c>
      <c r="H204" s="15"/>
    </row>
    <row r="205" spans="1:8" x14ac:dyDescent="0.3">
      <c r="A205" s="15"/>
      <c r="B205" s="31"/>
      <c r="C205" s="32"/>
      <c r="D205" s="32"/>
      <c r="E205" s="33"/>
      <c r="F205" s="34"/>
      <c r="G205" s="35" t="str">
        <f t="shared" si="3"/>
        <v/>
      </c>
      <c r="H205" s="15"/>
    </row>
    <row r="206" spans="1:8" x14ac:dyDescent="0.3">
      <c r="A206" s="15"/>
      <c r="B206" s="26"/>
      <c r="C206" s="27"/>
      <c r="D206" s="27"/>
      <c r="E206" s="28"/>
      <c r="F206" s="29"/>
      <c r="G206" s="30" t="str">
        <f t="shared" si="3"/>
        <v/>
      </c>
      <c r="H206" s="15"/>
    </row>
    <row r="207" spans="1:8" x14ac:dyDescent="0.3">
      <c r="A207" s="15"/>
      <c r="B207" s="31"/>
      <c r="C207" s="32"/>
      <c r="D207" s="32"/>
      <c r="E207" s="33"/>
      <c r="F207" s="34"/>
      <c r="G207" s="35" t="str">
        <f t="shared" si="3"/>
        <v/>
      </c>
      <c r="H207" s="15"/>
    </row>
    <row r="208" spans="1:8" x14ac:dyDescent="0.3">
      <c r="A208" s="15"/>
      <c r="B208" s="26"/>
      <c r="C208" s="27"/>
      <c r="D208" s="27"/>
      <c r="E208" s="28"/>
      <c r="F208" s="29"/>
      <c r="G208" s="30" t="str">
        <f t="shared" si="3"/>
        <v/>
      </c>
      <c r="H208" s="15"/>
    </row>
    <row r="209" spans="1:8" x14ac:dyDescent="0.3">
      <c r="A209" s="15"/>
      <c r="B209" s="31"/>
      <c r="C209" s="32"/>
      <c r="D209" s="32"/>
      <c r="E209" s="33"/>
      <c r="F209" s="34"/>
      <c r="G209" s="35" t="str">
        <f t="shared" si="3"/>
        <v/>
      </c>
      <c r="H209" s="15"/>
    </row>
    <row r="210" spans="1:8" x14ac:dyDescent="0.3">
      <c r="A210" s="15"/>
      <c r="B210" s="26"/>
      <c r="C210" s="27"/>
      <c r="D210" s="27"/>
      <c r="E210" s="28"/>
      <c r="F210" s="29"/>
      <c r="G210" s="30" t="str">
        <f t="shared" si="3"/>
        <v/>
      </c>
      <c r="H210" s="15"/>
    </row>
    <row r="211" spans="1:8" x14ac:dyDescent="0.3">
      <c r="A211" s="15"/>
      <c r="B211" s="31"/>
      <c r="C211" s="32"/>
      <c r="D211" s="32"/>
      <c r="E211" s="33"/>
      <c r="F211" s="34"/>
      <c r="G211" s="35" t="str">
        <f t="shared" si="3"/>
        <v/>
      </c>
      <c r="H211" s="15"/>
    </row>
    <row r="212" spans="1:8" x14ac:dyDescent="0.3">
      <c r="A212" s="15"/>
      <c r="B212" s="26"/>
      <c r="C212" s="27"/>
      <c r="D212" s="27"/>
      <c r="E212" s="28"/>
      <c r="F212" s="29"/>
      <c r="G212" s="30" t="str">
        <f t="shared" si="3"/>
        <v/>
      </c>
      <c r="H212" s="15"/>
    </row>
    <row r="213" spans="1:8" x14ac:dyDescent="0.3">
      <c r="A213" s="15"/>
      <c r="B213" s="31"/>
      <c r="C213" s="32"/>
      <c r="D213" s="32"/>
      <c r="E213" s="33"/>
      <c r="F213" s="34"/>
      <c r="G213" s="35" t="str">
        <f t="shared" si="3"/>
        <v/>
      </c>
      <c r="H213" s="15"/>
    </row>
    <row r="214" spans="1:8" x14ac:dyDescent="0.3">
      <c r="A214" s="15"/>
      <c r="B214" s="26"/>
      <c r="C214" s="27"/>
      <c r="D214" s="27"/>
      <c r="E214" s="28"/>
      <c r="F214" s="29"/>
      <c r="G214" s="30" t="str">
        <f t="shared" si="3"/>
        <v/>
      </c>
      <c r="H214" s="15"/>
    </row>
    <row r="215" spans="1:8" x14ac:dyDescent="0.3">
      <c r="A215" s="15"/>
      <c r="B215" s="31"/>
      <c r="C215" s="32"/>
      <c r="D215" s="32"/>
      <c r="E215" s="33"/>
      <c r="F215" s="34"/>
      <c r="G215" s="35" t="str">
        <f t="shared" si="3"/>
        <v/>
      </c>
      <c r="H215" s="15"/>
    </row>
    <row r="216" spans="1:8" x14ac:dyDescent="0.3">
      <c r="A216" s="15"/>
      <c r="B216" s="26"/>
      <c r="C216" s="27"/>
      <c r="D216" s="27"/>
      <c r="E216" s="28"/>
      <c r="F216" s="29"/>
      <c r="G216" s="30" t="str">
        <f t="shared" si="3"/>
        <v/>
      </c>
      <c r="H216" s="15"/>
    </row>
    <row r="217" spans="1:8" x14ac:dyDescent="0.3">
      <c r="A217" s="15"/>
      <c r="B217" s="31"/>
      <c r="C217" s="32"/>
      <c r="D217" s="32"/>
      <c r="E217" s="33"/>
      <c r="F217" s="34"/>
      <c r="G217" s="35" t="str">
        <f t="shared" si="3"/>
        <v/>
      </c>
      <c r="H217" s="15"/>
    </row>
    <row r="218" spans="1:8" x14ac:dyDescent="0.3">
      <c r="A218" s="15"/>
      <c r="B218" s="26"/>
      <c r="C218" s="27"/>
      <c r="D218" s="27"/>
      <c r="E218" s="28"/>
      <c r="F218" s="29"/>
      <c r="G218" s="30" t="str">
        <f t="shared" si="3"/>
        <v/>
      </c>
      <c r="H218" s="15"/>
    </row>
    <row r="219" spans="1:8" x14ac:dyDescent="0.3">
      <c r="A219" s="15"/>
      <c r="B219" s="31"/>
      <c r="C219" s="32"/>
      <c r="D219" s="32"/>
      <c r="E219" s="33"/>
      <c r="F219" s="34"/>
      <c r="G219" s="35" t="str">
        <f t="shared" si="3"/>
        <v/>
      </c>
      <c r="H219" s="15"/>
    </row>
    <row r="220" spans="1:8" x14ac:dyDescent="0.3">
      <c r="A220" s="15"/>
      <c r="B220" s="26"/>
      <c r="C220" s="27"/>
      <c r="D220" s="27"/>
      <c r="E220" s="28"/>
      <c r="F220" s="29"/>
      <c r="G220" s="30" t="str">
        <f t="shared" si="3"/>
        <v/>
      </c>
      <c r="H220" s="15"/>
    </row>
    <row r="221" spans="1:8" x14ac:dyDescent="0.3">
      <c r="A221" s="15"/>
      <c r="B221" s="31"/>
      <c r="C221" s="32"/>
      <c r="D221" s="32"/>
      <c r="E221" s="33"/>
      <c r="F221" s="34"/>
      <c r="G221" s="35" t="str">
        <f t="shared" si="3"/>
        <v/>
      </c>
      <c r="H221" s="15"/>
    </row>
    <row r="222" spans="1:8" x14ac:dyDescent="0.3">
      <c r="A222" s="15"/>
      <c r="B222" s="26"/>
      <c r="C222" s="27"/>
      <c r="D222" s="27"/>
      <c r="E222" s="28"/>
      <c r="F222" s="29"/>
      <c r="G222" s="30" t="str">
        <f t="shared" si="3"/>
        <v/>
      </c>
      <c r="H222" s="15"/>
    </row>
    <row r="223" spans="1:8" x14ac:dyDescent="0.3">
      <c r="A223" s="15"/>
      <c r="B223" s="31"/>
      <c r="C223" s="32"/>
      <c r="D223" s="32"/>
      <c r="E223" s="33"/>
      <c r="F223" s="34"/>
      <c r="G223" s="35" t="str">
        <f t="shared" si="3"/>
        <v/>
      </c>
      <c r="H223" s="15"/>
    </row>
    <row r="224" spans="1:8" x14ac:dyDescent="0.3">
      <c r="A224" s="15"/>
      <c r="B224" s="26"/>
      <c r="C224" s="27"/>
      <c r="D224" s="27"/>
      <c r="E224" s="28"/>
      <c r="F224" s="29"/>
      <c r="G224" s="30" t="str">
        <f t="shared" si="3"/>
        <v/>
      </c>
      <c r="H224" s="15"/>
    </row>
    <row r="225" spans="1:8" x14ac:dyDescent="0.3">
      <c r="A225" s="15"/>
      <c r="B225" s="31"/>
      <c r="C225" s="32"/>
      <c r="D225" s="32"/>
      <c r="E225" s="33"/>
      <c r="F225" s="34"/>
      <c r="G225" s="35" t="str">
        <f t="shared" si="3"/>
        <v/>
      </c>
      <c r="H225" s="15"/>
    </row>
    <row r="226" spans="1:8" x14ac:dyDescent="0.3">
      <c r="A226" s="15"/>
      <c r="B226" s="26"/>
      <c r="C226" s="27"/>
      <c r="D226" s="27"/>
      <c r="E226" s="28"/>
      <c r="F226" s="29"/>
      <c r="G226" s="30" t="str">
        <f t="shared" si="3"/>
        <v/>
      </c>
      <c r="H226" s="15"/>
    </row>
    <row r="227" spans="1:8" x14ac:dyDescent="0.3">
      <c r="A227" s="15"/>
      <c r="B227" s="31"/>
      <c r="C227" s="32"/>
      <c r="D227" s="32"/>
      <c r="E227" s="33"/>
      <c r="F227" s="34"/>
      <c r="G227" s="35" t="str">
        <f t="shared" si="3"/>
        <v/>
      </c>
      <c r="H227" s="15"/>
    </row>
    <row r="228" spans="1:8" x14ac:dyDescent="0.3">
      <c r="A228" s="15"/>
      <c r="B228" s="26"/>
      <c r="C228" s="27"/>
      <c r="D228" s="27"/>
      <c r="E228" s="28"/>
      <c r="F228" s="29"/>
      <c r="G228" s="30" t="str">
        <f t="shared" si="3"/>
        <v/>
      </c>
      <c r="H228" s="15"/>
    </row>
    <row r="229" spans="1:8" x14ac:dyDescent="0.3">
      <c r="A229" s="15"/>
      <c r="B229" s="31"/>
      <c r="C229" s="32"/>
      <c r="D229" s="32"/>
      <c r="E229" s="33"/>
      <c r="F229" s="34"/>
      <c r="G229" s="35" t="str">
        <f t="shared" si="3"/>
        <v/>
      </c>
      <c r="H229" s="15"/>
    </row>
    <row r="230" spans="1:8" x14ac:dyDescent="0.3">
      <c r="A230" s="15"/>
      <c r="B230" s="26"/>
      <c r="C230" s="27"/>
      <c r="D230" s="27"/>
      <c r="E230" s="28"/>
      <c r="F230" s="29"/>
      <c r="G230" s="30" t="str">
        <f t="shared" si="3"/>
        <v/>
      </c>
      <c r="H230" s="15"/>
    </row>
    <row r="231" spans="1:8" x14ac:dyDescent="0.3">
      <c r="A231" s="15"/>
      <c r="B231" s="31"/>
      <c r="C231" s="32"/>
      <c r="D231" s="32"/>
      <c r="E231" s="33"/>
      <c r="F231" s="34"/>
      <c r="G231" s="35" t="str">
        <f t="shared" si="3"/>
        <v/>
      </c>
      <c r="H231" s="15"/>
    </row>
    <row r="232" spans="1:8" x14ac:dyDescent="0.3">
      <c r="A232" s="15"/>
      <c r="B232" s="26"/>
      <c r="C232" s="27"/>
      <c r="D232" s="27"/>
      <c r="E232" s="28"/>
      <c r="F232" s="29"/>
      <c r="G232" s="30" t="str">
        <f t="shared" si="3"/>
        <v/>
      </c>
      <c r="H232" s="15"/>
    </row>
    <row r="233" spans="1:8" x14ac:dyDescent="0.3">
      <c r="A233" s="15"/>
      <c r="B233" s="31"/>
      <c r="C233" s="32"/>
      <c r="D233" s="32"/>
      <c r="E233" s="33"/>
      <c r="F233" s="34"/>
      <c r="G233" s="35" t="str">
        <f t="shared" si="3"/>
        <v/>
      </c>
      <c r="H233" s="15"/>
    </row>
    <row r="234" spans="1:8" x14ac:dyDescent="0.3">
      <c r="A234" s="15"/>
      <c r="B234" s="26"/>
      <c r="C234" s="27"/>
      <c r="D234" s="27"/>
      <c r="E234" s="28"/>
      <c r="F234" s="29"/>
      <c r="G234" s="30" t="str">
        <f t="shared" si="3"/>
        <v/>
      </c>
      <c r="H234" s="15"/>
    </row>
    <row r="235" spans="1:8" x14ac:dyDescent="0.3">
      <c r="A235" s="15"/>
      <c r="B235" s="31"/>
      <c r="C235" s="32"/>
      <c r="D235" s="32"/>
      <c r="E235" s="33"/>
      <c r="F235" s="34"/>
      <c r="G235" s="35" t="str">
        <f t="shared" si="3"/>
        <v/>
      </c>
      <c r="H235" s="15"/>
    </row>
    <row r="236" spans="1:8" x14ac:dyDescent="0.3">
      <c r="A236" s="15"/>
      <c r="B236" s="26"/>
      <c r="C236" s="27"/>
      <c r="D236" s="27"/>
      <c r="E236" s="28"/>
      <c r="F236" s="29"/>
      <c r="G236" s="30" t="str">
        <f t="shared" si="3"/>
        <v/>
      </c>
      <c r="H236" s="15"/>
    </row>
    <row r="237" spans="1:8" x14ac:dyDescent="0.3">
      <c r="A237" s="15"/>
      <c r="B237" s="31"/>
      <c r="C237" s="32"/>
      <c r="D237" s="32"/>
      <c r="E237" s="33"/>
      <c r="F237" s="34"/>
      <c r="G237" s="35" t="str">
        <f t="shared" si="3"/>
        <v/>
      </c>
      <c r="H237" s="15"/>
    </row>
    <row r="238" spans="1:8" x14ac:dyDescent="0.3">
      <c r="A238" s="15"/>
      <c r="B238" s="26"/>
      <c r="C238" s="27"/>
      <c r="D238" s="27"/>
      <c r="E238" s="28"/>
      <c r="F238" s="29"/>
      <c r="G238" s="30" t="str">
        <f t="shared" si="3"/>
        <v/>
      </c>
      <c r="H238" s="15"/>
    </row>
    <row r="239" spans="1:8" x14ac:dyDescent="0.3">
      <c r="A239" s="15"/>
      <c r="B239" s="31"/>
      <c r="C239" s="32"/>
      <c r="D239" s="32"/>
      <c r="E239" s="33"/>
      <c r="F239" s="34"/>
      <c r="G239" s="35" t="str">
        <f t="shared" si="3"/>
        <v/>
      </c>
      <c r="H239" s="15"/>
    </row>
    <row r="240" spans="1:8" x14ac:dyDescent="0.3">
      <c r="A240" s="15"/>
      <c r="B240" s="26"/>
      <c r="C240" s="27"/>
      <c r="D240" s="27"/>
      <c r="E240" s="28"/>
      <c r="F240" s="29"/>
      <c r="G240" s="30" t="str">
        <f t="shared" si="3"/>
        <v/>
      </c>
      <c r="H240" s="15"/>
    </row>
    <row r="241" spans="1:8" x14ac:dyDescent="0.3">
      <c r="A241" s="15"/>
      <c r="B241" s="31"/>
      <c r="C241" s="32"/>
      <c r="D241" s="32"/>
      <c r="E241" s="33"/>
      <c r="F241" s="34"/>
      <c r="G241" s="35" t="str">
        <f t="shared" si="3"/>
        <v/>
      </c>
      <c r="H241" s="15"/>
    </row>
    <row r="242" spans="1:8" x14ac:dyDescent="0.3">
      <c r="A242" s="15"/>
      <c r="B242" s="26"/>
      <c r="C242" s="27"/>
      <c r="D242" s="27"/>
      <c r="E242" s="28"/>
      <c r="F242" s="29"/>
      <c r="G242" s="30" t="str">
        <f t="shared" si="3"/>
        <v/>
      </c>
      <c r="H242" s="15"/>
    </row>
    <row r="243" spans="1:8" x14ac:dyDescent="0.3">
      <c r="A243" s="15"/>
      <c r="B243" s="31"/>
      <c r="C243" s="32"/>
      <c r="D243" s="32"/>
      <c r="E243" s="33"/>
      <c r="F243" s="34"/>
      <c r="G243" s="35" t="str">
        <f t="shared" si="3"/>
        <v/>
      </c>
      <c r="H243" s="15"/>
    </row>
    <row r="244" spans="1:8" x14ac:dyDescent="0.3">
      <c r="A244" s="15"/>
      <c r="B244" s="26"/>
      <c r="C244" s="27"/>
      <c r="D244" s="27"/>
      <c r="E244" s="28"/>
      <c r="F244" s="29"/>
      <c r="G244" s="30" t="str">
        <f t="shared" si="3"/>
        <v/>
      </c>
      <c r="H244" s="15"/>
    </row>
    <row r="245" spans="1:8" x14ac:dyDescent="0.3">
      <c r="A245" s="15"/>
      <c r="B245" s="31"/>
      <c r="C245" s="32"/>
      <c r="D245" s="32"/>
      <c r="E245" s="33"/>
      <c r="F245" s="34"/>
      <c r="G245" s="35" t="str">
        <f t="shared" si="3"/>
        <v/>
      </c>
      <c r="H245" s="15"/>
    </row>
    <row r="246" spans="1:8" x14ac:dyDescent="0.3">
      <c r="A246" s="15"/>
      <c r="B246" s="26"/>
      <c r="C246" s="27"/>
      <c r="D246" s="27"/>
      <c r="E246" s="28"/>
      <c r="F246" s="29"/>
      <c r="G246" s="30" t="str">
        <f t="shared" si="3"/>
        <v/>
      </c>
      <c r="H246" s="15"/>
    </row>
    <row r="247" spans="1:8" x14ac:dyDescent="0.3">
      <c r="A247" s="15"/>
      <c r="B247" s="31"/>
      <c r="C247" s="32"/>
      <c r="D247" s="32"/>
      <c r="E247" s="33"/>
      <c r="F247" s="34"/>
      <c r="G247" s="35" t="str">
        <f t="shared" si="3"/>
        <v/>
      </c>
      <c r="H247" s="15"/>
    </row>
    <row r="248" spans="1:8" x14ac:dyDescent="0.3">
      <c r="A248" s="15"/>
      <c r="B248" s="26"/>
      <c r="C248" s="27"/>
      <c r="D248" s="27"/>
      <c r="E248" s="28"/>
      <c r="F248" s="29"/>
      <c r="G248" s="30" t="str">
        <f t="shared" si="3"/>
        <v/>
      </c>
      <c r="H248" s="15"/>
    </row>
    <row r="249" spans="1:8" x14ac:dyDescent="0.3">
      <c r="A249" s="15"/>
      <c r="B249" s="31"/>
      <c r="C249" s="32"/>
      <c r="D249" s="32"/>
      <c r="E249" s="33"/>
      <c r="F249" s="34"/>
      <c r="G249" s="35" t="str">
        <f t="shared" si="3"/>
        <v/>
      </c>
      <c r="H249" s="15"/>
    </row>
    <row r="250" spans="1:8" x14ac:dyDescent="0.3">
      <c r="A250" s="15"/>
      <c r="B250" s="26"/>
      <c r="C250" s="27"/>
      <c r="D250" s="27"/>
      <c r="E250" s="28"/>
      <c r="F250" s="29"/>
      <c r="G250" s="30" t="str">
        <f t="shared" si="3"/>
        <v/>
      </c>
      <c r="H250" s="15"/>
    </row>
    <row r="251" spans="1:8" x14ac:dyDescent="0.3">
      <c r="A251" s="15"/>
      <c r="B251" s="31"/>
      <c r="C251" s="32"/>
      <c r="D251" s="32"/>
      <c r="E251" s="33"/>
      <c r="F251" s="34"/>
      <c r="G251" s="35" t="str">
        <f t="shared" si="3"/>
        <v/>
      </c>
      <c r="H251" s="15"/>
    </row>
    <row r="252" spans="1:8" x14ac:dyDescent="0.3">
      <c r="A252" s="15"/>
      <c r="B252" s="26"/>
      <c r="C252" s="27"/>
      <c r="D252" s="27"/>
      <c r="E252" s="28"/>
      <c r="F252" s="29"/>
      <c r="G252" s="30" t="str">
        <f t="shared" si="3"/>
        <v/>
      </c>
      <c r="H252" s="15"/>
    </row>
    <row r="253" spans="1:8" x14ac:dyDescent="0.3">
      <c r="A253" s="15"/>
      <c r="B253" s="31"/>
      <c r="C253" s="32"/>
      <c r="D253" s="32"/>
      <c r="E253" s="33"/>
      <c r="F253" s="34"/>
      <c r="G253" s="35" t="str">
        <f t="shared" si="3"/>
        <v/>
      </c>
      <c r="H253" s="15"/>
    </row>
    <row r="254" spans="1:8" x14ac:dyDescent="0.3">
      <c r="A254" s="15"/>
      <c r="B254" s="26"/>
      <c r="C254" s="27"/>
      <c r="D254" s="27"/>
      <c r="E254" s="28"/>
      <c r="F254" s="29"/>
      <c r="G254" s="30" t="str">
        <f t="shared" si="3"/>
        <v/>
      </c>
      <c r="H254" s="15"/>
    </row>
    <row r="255" spans="1:8" x14ac:dyDescent="0.3">
      <c r="A255" s="15"/>
      <c r="B255" s="31"/>
      <c r="C255" s="32"/>
      <c r="D255" s="32"/>
      <c r="E255" s="33"/>
      <c r="F255" s="34"/>
      <c r="G255" s="35" t="str">
        <f t="shared" si="3"/>
        <v/>
      </c>
      <c r="H255" s="15"/>
    </row>
    <row r="256" spans="1:8" x14ac:dyDescent="0.3">
      <c r="A256" s="15"/>
      <c r="B256" s="26"/>
      <c r="C256" s="27"/>
      <c r="D256" s="27"/>
      <c r="E256" s="28"/>
      <c r="F256" s="29"/>
      <c r="G256" s="30" t="str">
        <f t="shared" si="3"/>
        <v/>
      </c>
      <c r="H256" s="15"/>
    </row>
    <row r="257" spans="1:8" x14ac:dyDescent="0.3">
      <c r="A257" s="15"/>
      <c r="B257" s="31"/>
      <c r="C257" s="32"/>
      <c r="D257" s="32"/>
      <c r="E257" s="33"/>
      <c r="F257" s="34"/>
      <c r="G257" s="35" t="str">
        <f t="shared" si="3"/>
        <v/>
      </c>
      <c r="H257" s="15"/>
    </row>
    <row r="258" spans="1:8" x14ac:dyDescent="0.3">
      <c r="A258" s="15"/>
      <c r="B258" s="26"/>
      <c r="C258" s="27"/>
      <c r="D258" s="27"/>
      <c r="E258" s="28"/>
      <c r="F258" s="29"/>
      <c r="G258" s="30" t="str">
        <f t="shared" si="3"/>
        <v/>
      </c>
      <c r="H258" s="15"/>
    </row>
    <row r="259" spans="1:8" x14ac:dyDescent="0.3">
      <c r="A259" s="15"/>
      <c r="B259" s="31"/>
      <c r="C259" s="32"/>
      <c r="D259" s="32"/>
      <c r="E259" s="33"/>
      <c r="F259" s="34"/>
      <c r="G259" s="35" t="str">
        <f t="shared" si="3"/>
        <v/>
      </c>
      <c r="H259" s="15"/>
    </row>
    <row r="260" spans="1:8" x14ac:dyDescent="0.3">
      <c r="A260" s="15"/>
      <c r="B260" s="26"/>
      <c r="C260" s="27"/>
      <c r="D260" s="27"/>
      <c r="E260" s="28"/>
      <c r="F260" s="29"/>
      <c r="G260" s="30" t="str">
        <f t="shared" si="3"/>
        <v/>
      </c>
      <c r="H260" s="15"/>
    </row>
    <row r="261" spans="1:8" x14ac:dyDescent="0.3">
      <c r="A261" s="15"/>
      <c r="B261" s="31"/>
      <c r="C261" s="32"/>
      <c r="D261" s="32"/>
      <c r="E261" s="33"/>
      <c r="F261" s="34"/>
      <c r="G261" s="35" t="str">
        <f t="shared" si="3"/>
        <v/>
      </c>
      <c r="H261" s="15"/>
    </row>
    <row r="262" spans="1:8" x14ac:dyDescent="0.3">
      <c r="A262" s="15"/>
      <c r="B262" s="26"/>
      <c r="C262" s="27"/>
      <c r="D262" s="27"/>
      <c r="E262" s="28"/>
      <c r="F262" s="29"/>
      <c r="G262" s="30" t="str">
        <f t="shared" si="3"/>
        <v/>
      </c>
      <c r="H262" s="15"/>
    </row>
    <row r="263" spans="1:8" x14ac:dyDescent="0.3">
      <c r="A263" s="15"/>
      <c r="B263" s="31"/>
      <c r="C263" s="32"/>
      <c r="D263" s="32"/>
      <c r="E263" s="33"/>
      <c r="F263" s="34"/>
      <c r="G263" s="35" t="str">
        <f t="shared" si="3"/>
        <v/>
      </c>
      <c r="H263" s="15"/>
    </row>
    <row r="264" spans="1:8" x14ac:dyDescent="0.3">
      <c r="A264" s="15"/>
      <c r="B264" s="26"/>
      <c r="C264" s="27"/>
      <c r="D264" s="27"/>
      <c r="E264" s="28"/>
      <c r="F264" s="29"/>
      <c r="G264" s="30" t="str">
        <f t="shared" ref="G264:G307" si="4">IF(B264="","",CHOOSE(MONTH(B264),"Janvier","Février","Mars","Avril","Mai","Juin","Juillet","Août","Septembre","Octobre","Novembre","Décembre"))</f>
        <v/>
      </c>
      <c r="H264" s="15"/>
    </row>
    <row r="265" spans="1:8" x14ac:dyDescent="0.3">
      <c r="A265" s="15"/>
      <c r="B265" s="31"/>
      <c r="C265" s="32"/>
      <c r="D265" s="32"/>
      <c r="E265" s="33"/>
      <c r="F265" s="34"/>
      <c r="G265" s="35" t="str">
        <f t="shared" si="4"/>
        <v/>
      </c>
      <c r="H265" s="15"/>
    </row>
    <row r="266" spans="1:8" x14ac:dyDescent="0.3">
      <c r="A266" s="15"/>
      <c r="B266" s="26"/>
      <c r="C266" s="27"/>
      <c r="D266" s="27"/>
      <c r="E266" s="28"/>
      <c r="F266" s="29"/>
      <c r="G266" s="30" t="str">
        <f t="shared" si="4"/>
        <v/>
      </c>
      <c r="H266" s="15"/>
    </row>
    <row r="267" spans="1:8" x14ac:dyDescent="0.3">
      <c r="A267" s="15"/>
      <c r="B267" s="31"/>
      <c r="C267" s="32"/>
      <c r="D267" s="32"/>
      <c r="E267" s="33"/>
      <c r="F267" s="34"/>
      <c r="G267" s="35" t="str">
        <f t="shared" si="4"/>
        <v/>
      </c>
      <c r="H267" s="15"/>
    </row>
    <row r="268" spans="1:8" x14ac:dyDescent="0.3">
      <c r="A268" s="15"/>
      <c r="B268" s="26"/>
      <c r="C268" s="27"/>
      <c r="D268" s="27"/>
      <c r="E268" s="28"/>
      <c r="F268" s="29"/>
      <c r="G268" s="30" t="str">
        <f t="shared" si="4"/>
        <v/>
      </c>
      <c r="H268" s="15"/>
    </row>
    <row r="269" spans="1:8" x14ac:dyDescent="0.3">
      <c r="A269" s="15"/>
      <c r="B269" s="31"/>
      <c r="C269" s="32"/>
      <c r="D269" s="32"/>
      <c r="E269" s="33"/>
      <c r="F269" s="34"/>
      <c r="G269" s="35" t="str">
        <f t="shared" si="4"/>
        <v/>
      </c>
      <c r="H269" s="15"/>
    </row>
    <row r="270" spans="1:8" x14ac:dyDescent="0.3">
      <c r="A270" s="15"/>
      <c r="B270" s="26"/>
      <c r="C270" s="27"/>
      <c r="D270" s="27"/>
      <c r="E270" s="28"/>
      <c r="F270" s="29"/>
      <c r="G270" s="30" t="str">
        <f t="shared" si="4"/>
        <v/>
      </c>
      <c r="H270" s="15"/>
    </row>
    <row r="271" spans="1:8" x14ac:dyDescent="0.3">
      <c r="A271" s="15"/>
      <c r="B271" s="31"/>
      <c r="C271" s="32"/>
      <c r="D271" s="32"/>
      <c r="E271" s="33"/>
      <c r="F271" s="34"/>
      <c r="G271" s="35" t="str">
        <f t="shared" si="4"/>
        <v/>
      </c>
      <c r="H271" s="15"/>
    </row>
    <row r="272" spans="1:8" x14ac:dyDescent="0.3">
      <c r="A272" s="15"/>
      <c r="B272" s="26"/>
      <c r="C272" s="27"/>
      <c r="D272" s="27"/>
      <c r="E272" s="28"/>
      <c r="F272" s="29"/>
      <c r="G272" s="30" t="str">
        <f t="shared" si="4"/>
        <v/>
      </c>
      <c r="H272" s="15"/>
    </row>
    <row r="273" spans="1:8" x14ac:dyDescent="0.3">
      <c r="A273" s="15"/>
      <c r="B273" s="31"/>
      <c r="C273" s="32"/>
      <c r="D273" s="32"/>
      <c r="E273" s="33"/>
      <c r="F273" s="34"/>
      <c r="G273" s="35" t="str">
        <f t="shared" si="4"/>
        <v/>
      </c>
      <c r="H273" s="15"/>
    </row>
    <row r="274" spans="1:8" x14ac:dyDescent="0.3">
      <c r="A274" s="15"/>
      <c r="B274" s="26"/>
      <c r="C274" s="27"/>
      <c r="D274" s="27"/>
      <c r="E274" s="28"/>
      <c r="F274" s="29"/>
      <c r="G274" s="30" t="str">
        <f t="shared" si="4"/>
        <v/>
      </c>
      <c r="H274" s="15"/>
    </row>
    <row r="275" spans="1:8" x14ac:dyDescent="0.3">
      <c r="A275" s="15"/>
      <c r="B275" s="31"/>
      <c r="C275" s="32"/>
      <c r="D275" s="32"/>
      <c r="E275" s="33"/>
      <c r="F275" s="34"/>
      <c r="G275" s="35" t="str">
        <f t="shared" si="4"/>
        <v/>
      </c>
      <c r="H275" s="15"/>
    </row>
    <row r="276" spans="1:8" x14ac:dyDescent="0.3">
      <c r="A276" s="15"/>
      <c r="B276" s="26"/>
      <c r="C276" s="27"/>
      <c r="D276" s="27"/>
      <c r="E276" s="28"/>
      <c r="F276" s="29"/>
      <c r="G276" s="30" t="str">
        <f t="shared" si="4"/>
        <v/>
      </c>
      <c r="H276" s="15"/>
    </row>
    <row r="277" spans="1:8" x14ac:dyDescent="0.3">
      <c r="A277" s="15"/>
      <c r="B277" s="31"/>
      <c r="C277" s="32"/>
      <c r="D277" s="32"/>
      <c r="E277" s="33"/>
      <c r="F277" s="34"/>
      <c r="G277" s="35" t="str">
        <f t="shared" si="4"/>
        <v/>
      </c>
      <c r="H277" s="15"/>
    </row>
    <row r="278" spans="1:8" x14ac:dyDescent="0.3">
      <c r="A278" s="15"/>
      <c r="B278" s="26"/>
      <c r="C278" s="27"/>
      <c r="D278" s="27"/>
      <c r="E278" s="28"/>
      <c r="F278" s="29"/>
      <c r="G278" s="30" t="str">
        <f t="shared" si="4"/>
        <v/>
      </c>
      <c r="H278" s="15"/>
    </row>
    <row r="279" spans="1:8" x14ac:dyDescent="0.3">
      <c r="A279" s="15"/>
      <c r="B279" s="31"/>
      <c r="C279" s="32"/>
      <c r="D279" s="32"/>
      <c r="E279" s="33"/>
      <c r="F279" s="34"/>
      <c r="G279" s="35" t="str">
        <f t="shared" si="4"/>
        <v/>
      </c>
      <c r="H279" s="15"/>
    </row>
    <row r="280" spans="1:8" x14ac:dyDescent="0.3">
      <c r="A280" s="15"/>
      <c r="B280" s="26"/>
      <c r="C280" s="27"/>
      <c r="D280" s="27"/>
      <c r="E280" s="28"/>
      <c r="F280" s="29"/>
      <c r="G280" s="30" t="str">
        <f t="shared" si="4"/>
        <v/>
      </c>
      <c r="H280" s="15"/>
    </row>
    <row r="281" spans="1:8" x14ac:dyDescent="0.3">
      <c r="A281" s="15"/>
      <c r="B281" s="31"/>
      <c r="C281" s="32"/>
      <c r="D281" s="32"/>
      <c r="E281" s="33"/>
      <c r="F281" s="34"/>
      <c r="G281" s="35" t="str">
        <f t="shared" si="4"/>
        <v/>
      </c>
      <c r="H281" s="15"/>
    </row>
    <row r="282" spans="1:8" x14ac:dyDescent="0.3">
      <c r="A282" s="15"/>
      <c r="B282" s="26"/>
      <c r="C282" s="27"/>
      <c r="D282" s="27"/>
      <c r="E282" s="28"/>
      <c r="F282" s="29"/>
      <c r="G282" s="30" t="str">
        <f t="shared" si="4"/>
        <v/>
      </c>
      <c r="H282" s="15"/>
    </row>
    <row r="283" spans="1:8" x14ac:dyDescent="0.3">
      <c r="A283" s="15"/>
      <c r="B283" s="31"/>
      <c r="C283" s="32"/>
      <c r="D283" s="32"/>
      <c r="E283" s="33"/>
      <c r="F283" s="34"/>
      <c r="G283" s="35" t="str">
        <f t="shared" si="4"/>
        <v/>
      </c>
      <c r="H283" s="15"/>
    </row>
    <row r="284" spans="1:8" x14ac:dyDescent="0.3">
      <c r="A284" s="15"/>
      <c r="B284" s="26"/>
      <c r="C284" s="27"/>
      <c r="D284" s="27"/>
      <c r="E284" s="28"/>
      <c r="F284" s="29"/>
      <c r="G284" s="30" t="str">
        <f t="shared" si="4"/>
        <v/>
      </c>
      <c r="H284" s="15"/>
    </row>
    <row r="285" spans="1:8" x14ac:dyDescent="0.3">
      <c r="A285" s="15"/>
      <c r="B285" s="31"/>
      <c r="C285" s="32"/>
      <c r="D285" s="32"/>
      <c r="E285" s="33"/>
      <c r="F285" s="34"/>
      <c r="G285" s="35" t="str">
        <f t="shared" si="4"/>
        <v/>
      </c>
      <c r="H285" s="15"/>
    </row>
    <row r="286" spans="1:8" x14ac:dyDescent="0.3">
      <c r="A286" s="15"/>
      <c r="B286" s="26"/>
      <c r="C286" s="27"/>
      <c r="D286" s="27"/>
      <c r="E286" s="28"/>
      <c r="F286" s="29"/>
      <c r="G286" s="30" t="str">
        <f t="shared" si="4"/>
        <v/>
      </c>
      <c r="H286" s="15"/>
    </row>
    <row r="287" spans="1:8" x14ac:dyDescent="0.3">
      <c r="A287" s="15"/>
      <c r="B287" s="31"/>
      <c r="C287" s="32"/>
      <c r="D287" s="32"/>
      <c r="E287" s="33"/>
      <c r="F287" s="34"/>
      <c r="G287" s="35" t="str">
        <f t="shared" si="4"/>
        <v/>
      </c>
      <c r="H287" s="15"/>
    </row>
    <row r="288" spans="1:8" x14ac:dyDescent="0.3">
      <c r="A288" s="15"/>
      <c r="B288" s="26"/>
      <c r="C288" s="27"/>
      <c r="D288" s="27"/>
      <c r="E288" s="28"/>
      <c r="F288" s="29"/>
      <c r="G288" s="30" t="str">
        <f t="shared" si="4"/>
        <v/>
      </c>
      <c r="H288" s="15"/>
    </row>
    <row r="289" spans="1:8" x14ac:dyDescent="0.3">
      <c r="A289" s="15"/>
      <c r="B289" s="31"/>
      <c r="C289" s="32"/>
      <c r="D289" s="32"/>
      <c r="E289" s="33"/>
      <c r="F289" s="34"/>
      <c r="G289" s="35" t="str">
        <f t="shared" si="4"/>
        <v/>
      </c>
      <c r="H289" s="15"/>
    </row>
    <row r="290" spans="1:8" x14ac:dyDescent="0.3">
      <c r="A290" s="15"/>
      <c r="B290" s="26"/>
      <c r="C290" s="27"/>
      <c r="D290" s="27"/>
      <c r="E290" s="28"/>
      <c r="F290" s="29"/>
      <c r="G290" s="30" t="str">
        <f t="shared" si="4"/>
        <v/>
      </c>
      <c r="H290" s="15"/>
    </row>
    <row r="291" spans="1:8" x14ac:dyDescent="0.3">
      <c r="A291" s="15"/>
      <c r="B291" s="31"/>
      <c r="C291" s="32"/>
      <c r="D291" s="32"/>
      <c r="E291" s="33"/>
      <c r="F291" s="34"/>
      <c r="G291" s="35" t="str">
        <f t="shared" si="4"/>
        <v/>
      </c>
      <c r="H291" s="15"/>
    </row>
    <row r="292" spans="1:8" x14ac:dyDescent="0.3">
      <c r="A292" s="15"/>
      <c r="B292" s="26"/>
      <c r="C292" s="27"/>
      <c r="D292" s="27"/>
      <c r="E292" s="28"/>
      <c r="F292" s="29"/>
      <c r="G292" s="30" t="str">
        <f t="shared" si="4"/>
        <v/>
      </c>
      <c r="H292" s="15"/>
    </row>
    <row r="293" spans="1:8" x14ac:dyDescent="0.3">
      <c r="A293" s="15"/>
      <c r="B293" s="31"/>
      <c r="C293" s="32"/>
      <c r="D293" s="32"/>
      <c r="E293" s="33"/>
      <c r="F293" s="34"/>
      <c r="G293" s="35" t="str">
        <f t="shared" si="4"/>
        <v/>
      </c>
      <c r="H293" s="15"/>
    </row>
    <row r="294" spans="1:8" x14ac:dyDescent="0.3">
      <c r="A294" s="15"/>
      <c r="B294" s="26"/>
      <c r="C294" s="27"/>
      <c r="D294" s="27"/>
      <c r="E294" s="28"/>
      <c r="F294" s="29"/>
      <c r="G294" s="30" t="str">
        <f t="shared" si="4"/>
        <v/>
      </c>
      <c r="H294" s="15"/>
    </row>
    <row r="295" spans="1:8" x14ac:dyDescent="0.3">
      <c r="A295" s="15"/>
      <c r="B295" s="31"/>
      <c r="C295" s="32"/>
      <c r="D295" s="32"/>
      <c r="E295" s="33"/>
      <c r="F295" s="34"/>
      <c r="G295" s="35" t="str">
        <f t="shared" si="4"/>
        <v/>
      </c>
      <c r="H295" s="15"/>
    </row>
    <row r="296" spans="1:8" x14ac:dyDescent="0.3">
      <c r="A296" s="15"/>
      <c r="B296" s="26"/>
      <c r="C296" s="27"/>
      <c r="D296" s="27"/>
      <c r="E296" s="28"/>
      <c r="F296" s="29"/>
      <c r="G296" s="30" t="str">
        <f t="shared" si="4"/>
        <v/>
      </c>
      <c r="H296" s="15"/>
    </row>
    <row r="297" spans="1:8" x14ac:dyDescent="0.3">
      <c r="A297" s="15"/>
      <c r="B297" s="31"/>
      <c r="C297" s="32"/>
      <c r="D297" s="32"/>
      <c r="E297" s="33"/>
      <c r="F297" s="34"/>
      <c r="G297" s="35" t="str">
        <f t="shared" si="4"/>
        <v/>
      </c>
      <c r="H297" s="15"/>
    </row>
    <row r="298" spans="1:8" x14ac:dyDescent="0.3">
      <c r="A298" s="15"/>
      <c r="B298" s="26"/>
      <c r="C298" s="27"/>
      <c r="D298" s="27"/>
      <c r="E298" s="28"/>
      <c r="F298" s="29"/>
      <c r="G298" s="30" t="str">
        <f t="shared" si="4"/>
        <v/>
      </c>
      <c r="H298" s="15"/>
    </row>
    <row r="299" spans="1:8" x14ac:dyDescent="0.3">
      <c r="A299" s="15"/>
      <c r="B299" s="31"/>
      <c r="C299" s="32"/>
      <c r="D299" s="32"/>
      <c r="E299" s="33"/>
      <c r="F299" s="34"/>
      <c r="G299" s="35" t="str">
        <f t="shared" si="4"/>
        <v/>
      </c>
      <c r="H299" s="15"/>
    </row>
    <row r="300" spans="1:8" x14ac:dyDescent="0.3">
      <c r="A300" s="15"/>
      <c r="B300" s="26"/>
      <c r="C300" s="27"/>
      <c r="D300" s="27"/>
      <c r="E300" s="28"/>
      <c r="F300" s="29"/>
      <c r="G300" s="30" t="str">
        <f t="shared" si="4"/>
        <v/>
      </c>
      <c r="H300" s="15"/>
    </row>
    <row r="301" spans="1:8" x14ac:dyDescent="0.3">
      <c r="A301" s="15"/>
      <c r="B301" s="31"/>
      <c r="C301" s="32"/>
      <c r="D301" s="32"/>
      <c r="E301" s="33"/>
      <c r="F301" s="34"/>
      <c r="G301" s="35" t="str">
        <f t="shared" si="4"/>
        <v/>
      </c>
      <c r="H301" s="15"/>
    </row>
    <row r="302" spans="1:8" x14ac:dyDescent="0.3">
      <c r="A302" s="15"/>
      <c r="B302" s="26"/>
      <c r="C302" s="27"/>
      <c r="D302" s="27"/>
      <c r="E302" s="28"/>
      <c r="F302" s="29"/>
      <c r="G302" s="30" t="str">
        <f t="shared" si="4"/>
        <v/>
      </c>
      <c r="H302" s="15"/>
    </row>
    <row r="303" spans="1:8" x14ac:dyDescent="0.3">
      <c r="A303" s="15"/>
      <c r="B303" s="31"/>
      <c r="C303" s="32"/>
      <c r="D303" s="32"/>
      <c r="E303" s="33"/>
      <c r="F303" s="34"/>
      <c r="G303" s="35" t="str">
        <f t="shared" si="4"/>
        <v/>
      </c>
      <c r="H303" s="15"/>
    </row>
    <row r="304" spans="1:8" x14ac:dyDescent="0.3">
      <c r="A304" s="15"/>
      <c r="B304" s="26"/>
      <c r="C304" s="27"/>
      <c r="D304" s="27"/>
      <c r="E304" s="28"/>
      <c r="F304" s="29"/>
      <c r="G304" s="30" t="str">
        <f t="shared" si="4"/>
        <v/>
      </c>
      <c r="H304" s="15"/>
    </row>
    <row r="305" spans="1:8" x14ac:dyDescent="0.3">
      <c r="A305" s="15"/>
      <c r="B305" s="31"/>
      <c r="C305" s="32"/>
      <c r="D305" s="32"/>
      <c r="E305" s="33"/>
      <c r="F305" s="34"/>
      <c r="G305" s="35" t="str">
        <f t="shared" si="4"/>
        <v/>
      </c>
      <c r="H305" s="15"/>
    </row>
    <row r="306" spans="1:8" x14ac:dyDescent="0.3">
      <c r="A306" s="15"/>
      <c r="B306" s="26"/>
      <c r="C306" s="27"/>
      <c r="D306" s="27"/>
      <c r="E306" s="28"/>
      <c r="F306" s="29"/>
      <c r="G306" s="30" t="str">
        <f t="shared" si="4"/>
        <v/>
      </c>
      <c r="H306" s="15"/>
    </row>
    <row r="307" spans="1:8" x14ac:dyDescent="0.3">
      <c r="A307" s="15"/>
      <c r="B307" s="31"/>
      <c r="C307" s="32"/>
      <c r="D307" s="32"/>
      <c r="E307" s="33"/>
      <c r="F307" s="34"/>
      <c r="G307" s="35" t="str">
        <f t="shared" si="4"/>
        <v/>
      </c>
      <c r="H307" s="15"/>
    </row>
    <row r="308" spans="1:8" x14ac:dyDescent="0.3">
      <c r="A308" s="15"/>
      <c r="B308" s="15"/>
      <c r="C308" s="15"/>
      <c r="D308" s="15"/>
      <c r="E308" s="15"/>
      <c r="F308" s="15"/>
      <c r="G308" s="15"/>
      <c r="H308" s="15"/>
    </row>
    <row r="309" spans="1:8" x14ac:dyDescent="0.3">
      <c r="A309" s="15"/>
      <c r="B309" s="2" t="s">
        <v>55</v>
      </c>
      <c r="C309" s="2"/>
      <c r="D309" s="2"/>
      <c r="E309" s="2"/>
      <c r="F309" s="2"/>
      <c r="G309" s="2"/>
      <c r="H309" s="15"/>
    </row>
    <row r="310" spans="1:8" x14ac:dyDescent="0.3">
      <c r="A310" s="15"/>
      <c r="B310" s="15"/>
      <c r="C310" s="15"/>
      <c r="D310" s="15"/>
      <c r="E310" s="15"/>
      <c r="F310" s="15"/>
      <c r="G310" s="15"/>
      <c r="H310" s="15"/>
    </row>
    <row r="311" spans="1:8" x14ac:dyDescent="0.3">
      <c r="A311" s="15"/>
      <c r="B311" s="15"/>
      <c r="C311" s="15"/>
      <c r="D311" s="15"/>
      <c r="E311" s="15"/>
      <c r="F311" s="15"/>
      <c r="G311" s="15"/>
      <c r="H311" s="15"/>
    </row>
  </sheetData>
  <mergeCells count="5">
    <mergeCell ref="B2:G2"/>
    <mergeCell ref="B3:G3"/>
    <mergeCell ref="B4:G4"/>
    <mergeCell ref="B5:G5"/>
    <mergeCell ref="B309:G309"/>
  </mergeCells>
  <dataValidations count="1">
    <dataValidation type="list" allowBlank="1" sqref="E8:E307" xr:uid="{00000000-0002-0000-0200-000001000000}">
      <formula1>"Revenu,Dépense fixe,Dépense courante,Épargne"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error="Catégorie non trouvée — vous pouvez en saisir une nouvelle." promptTitle="Catégorie" prompt="Choisissez dans la liste ou tapez la vôtre." xr:uid="{00000000-0002-0000-0200-000000000000}">
          <x14:formula1>
            <xm:f>_Listes!$A$2:$A$30</xm:f>
          </x14:formula1>
          <x14:formula2>
            <xm:f>0</xm:f>
          </x14:formula2>
          <xm:sqref>D8:D307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zoomScaleNormal="100" workbookViewId="0"/>
  </sheetViews>
  <sheetFormatPr baseColWidth="10" defaultColWidth="8.6640625" defaultRowHeight="14.4" x14ac:dyDescent="0.3"/>
  <sheetData>
    <row r="1" spans="1:2" x14ac:dyDescent="0.3">
      <c r="A1" t="s">
        <v>25</v>
      </c>
      <c r="B1" t="s">
        <v>52</v>
      </c>
    </row>
    <row r="2" spans="1:2" x14ac:dyDescent="0.3">
      <c r="A2" t="s">
        <v>56</v>
      </c>
      <c r="B2" t="s">
        <v>57</v>
      </c>
    </row>
    <row r="3" spans="1:2" x14ac:dyDescent="0.3">
      <c r="A3" t="s">
        <v>58</v>
      </c>
      <c r="B3" t="s">
        <v>59</v>
      </c>
    </row>
    <row r="4" spans="1:2" x14ac:dyDescent="0.3">
      <c r="A4" t="s">
        <v>60</v>
      </c>
      <c r="B4" t="s">
        <v>61</v>
      </c>
    </row>
    <row r="5" spans="1:2" x14ac:dyDescent="0.3">
      <c r="A5" t="s">
        <v>62</v>
      </c>
      <c r="B5" t="s">
        <v>41</v>
      </c>
    </row>
    <row r="6" spans="1:2" x14ac:dyDescent="0.3">
      <c r="A6" t="s">
        <v>63</v>
      </c>
    </row>
    <row r="7" spans="1:2" x14ac:dyDescent="0.3">
      <c r="A7" t="s">
        <v>64</v>
      </c>
    </row>
    <row r="8" spans="1:2" x14ac:dyDescent="0.3">
      <c r="A8" t="s">
        <v>65</v>
      </c>
    </row>
    <row r="9" spans="1:2" x14ac:dyDescent="0.3">
      <c r="A9" t="s">
        <v>66</v>
      </c>
    </row>
    <row r="10" spans="1:2" x14ac:dyDescent="0.3">
      <c r="A10" t="s">
        <v>67</v>
      </c>
    </row>
    <row r="11" spans="1:2" x14ac:dyDescent="0.3">
      <c r="A11" t="s">
        <v>68</v>
      </c>
    </row>
    <row r="12" spans="1:2" x14ac:dyDescent="0.3">
      <c r="A12" t="s">
        <v>69</v>
      </c>
    </row>
    <row r="13" spans="1:2" x14ac:dyDescent="0.3">
      <c r="A13" t="s">
        <v>70</v>
      </c>
    </row>
    <row r="14" spans="1:2" x14ac:dyDescent="0.3">
      <c r="A14" t="s">
        <v>71</v>
      </c>
    </row>
    <row r="15" spans="1:2" x14ac:dyDescent="0.3">
      <c r="A15" t="s">
        <v>72</v>
      </c>
    </row>
    <row r="16" spans="1:2" x14ac:dyDescent="0.3">
      <c r="A16" t="s">
        <v>73</v>
      </c>
    </row>
    <row r="17" spans="1:1" x14ac:dyDescent="0.3">
      <c r="A17" t="s">
        <v>74</v>
      </c>
    </row>
    <row r="18" spans="1:1" x14ac:dyDescent="0.3">
      <c r="A18" t="s">
        <v>75</v>
      </c>
    </row>
    <row r="19" spans="1:1" x14ac:dyDescent="0.3">
      <c r="A19" t="s">
        <v>76</v>
      </c>
    </row>
    <row r="20" spans="1:1" x14ac:dyDescent="0.3">
      <c r="A20" t="s">
        <v>77</v>
      </c>
    </row>
    <row r="21" spans="1:1" x14ac:dyDescent="0.3">
      <c r="A21" t="s">
        <v>78</v>
      </c>
    </row>
    <row r="22" spans="1:1" x14ac:dyDescent="0.3">
      <c r="A22" t="s">
        <v>79</v>
      </c>
    </row>
    <row r="23" spans="1:1" x14ac:dyDescent="0.3">
      <c r="A23" t="s">
        <v>80</v>
      </c>
    </row>
    <row r="24" spans="1:1" x14ac:dyDescent="0.3">
      <c r="A24" t="s">
        <v>81</v>
      </c>
    </row>
    <row r="25" spans="1:1" x14ac:dyDescent="0.3">
      <c r="A25" t="s">
        <v>82</v>
      </c>
    </row>
    <row r="26" spans="1:1" x14ac:dyDescent="0.3">
      <c r="A26" t="s">
        <v>83</v>
      </c>
    </row>
    <row r="27" spans="1:1" x14ac:dyDescent="0.3">
      <c r="A27" t="s">
        <v>84</v>
      </c>
    </row>
    <row r="28" spans="1:1" x14ac:dyDescent="0.3">
      <c r="A28" t="s">
        <v>85</v>
      </c>
    </row>
    <row r="29" spans="1:1" x14ac:dyDescent="0.3">
      <c r="A29" t="s">
        <v>86</v>
      </c>
    </row>
    <row r="30" spans="1:1" x14ac:dyDescent="0.3">
      <c r="A30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8"/>
  <sheetViews>
    <sheetView showGridLines="0" zoomScaleNormal="100" workbookViewId="0">
      <selection activeCell="G3" sqref="G3"/>
    </sheetView>
  </sheetViews>
  <sheetFormatPr baseColWidth="10" defaultColWidth="8.6640625" defaultRowHeight="14.4" x14ac:dyDescent="0.3"/>
  <cols>
    <col min="1" max="1" width="14" customWidth="1"/>
    <col min="2" max="2" width="26.21875" customWidth="1"/>
    <col min="3" max="3" width="23.88671875" customWidth="1"/>
    <col min="4" max="4" width="27.88671875" customWidth="1"/>
    <col min="5" max="5" width="35.5546875" customWidth="1"/>
    <col min="6" max="6" width="14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88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IFERROR(IF(B8="",0,SUMIFS(Transactions!$F:$F,Transactions!$G:$G,"Janvier",Transactions!$D:$D,B8)),0)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IFERROR(IF(B9="",0,SUMIFS(Transactions!$F:$F,Transactions!$G:$G,"Janvier",Transactions!$D:$D,B9)),0)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IFERROR(IF(B10="",0,SUMIFS(Transactions!$F:$F,Transactions!$G:$G,"Janvier",Transactions!$D:$D,B10)),0)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IFERROR(IF(B11="",0,SUMIFS(Transactions!$F:$F,Transactions!$G:$G,"Janvier",Transactions!$D:$D,B11)),0)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IFERROR(IF(B12="",0,SUMIFS(Transactions!$F:$F,Transactions!$G:$G,"Janvier",Transactions!$D:$D,B12)),0)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IFERROR(IF(B13="",0,SUMIFS(Transactions!$F:$F,Transactions!$G:$G,"Janvier",Transactions!$D:$D,B13)),0)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IFERROR(IF(B14="",0,SUMIFS(Transactions!$F:$F,Transactions!$G:$G,"Janvier",Transactions!$D:$D,B14)),0)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IFERROR(IF(B18="",0,SUMIFS(Transactions!$F:$F,Transactions!$G:$G,"Janvier",Transactions!$D:$D,B18)),0)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IFERROR(IF(B19="",0,SUMIFS(Transactions!$F:$F,Transactions!$G:$G,"Janvier",Transactions!$D:$D,B19)),0)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IFERROR(IF(B20="",0,SUMIFS(Transactions!$F:$F,Transactions!$G:$G,"Janvier",Transactions!$D:$D,B20)),0)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IFERROR(IF(B21="",0,SUMIFS(Transactions!$F:$F,Transactions!$G:$G,"Janvier",Transactions!$D:$D,B21)),0)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IFERROR(IF(B22="",0,SUMIFS(Transactions!$F:$F,Transactions!$G:$G,"Janvier",Transactions!$D:$D,B22)),0)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IFERROR(IF(B23="",0,SUMIFS(Transactions!$F:$F,Transactions!$G:$G,"Janvier",Transactions!$D:$D,B23)),0)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IFERROR(IF(B24="",0,SUMIFS(Transactions!$F:$F,Transactions!$G:$G,"Janvier",Transactions!$D:$D,B24)),0)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IFERROR(IF(B25="",0,SUMIFS(Transactions!$F:$F,Transactions!$G:$G,"Janvier",Transactions!$D:$D,B25)),0)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IFERROR(IF(B26="",0,SUMIFS(Transactions!$F:$F,Transactions!$G:$G,"Janvier",Transactions!$D:$D,B26)),0)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IFERROR(IF(B27="",0,SUMIFS(Transactions!$F:$F,Transactions!$G:$G,"Janvier",Transactions!$D:$D,B27)),0)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IFERROR(IF(B28="",0,SUMIFS(Transactions!$F:$F,Transactions!$G:$G,"Janvier",Transactions!$D:$D,B28)),0)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IFERROR(IF(B29="",0,SUMIFS(Transactions!$F:$F,Transactions!$G:$G,"Janvier",Transactions!$D:$D,B29)),0)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IFERROR(IF(B30="",0,SUMIFS(Transactions!$F:$F,Transactions!$G:$G,"Janvier",Transactions!$D:$D,B30)),0)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IFERROR(IF(B31="",0,SUMIFS(Transactions!$F:$F,Transactions!$G:$G,"Janvier",Transactions!$D:$D,B31)),0)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IFERROR(IF(B32="",0,SUMIFS(Transactions!$F:$F,Transactions!$G:$G,"Janvier",Transactions!$D:$D,B32)),0)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IFERROR(IF(B33="",0,SUMIFS(Transactions!$F:$F,Transactions!$G:$G,"Janvier",Transactions!$D:$D,B33)),0)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IFERROR(IF(B34="",0,SUMIFS(Transactions!$F:$F,Transactions!$G:$G,"Janvier",Transactions!$D:$D,B34)),0)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IFERROR(IF(B35="",0,SUMIFS(Transactions!$F:$F,Transactions!$G:$G,"Janvier",Transactions!$D:$D,B35)),0)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IFERROR(IF(B39="",0,SUMIFS(Transactions!$F:$F,Transactions!$G:$G,"Janvier",Transactions!$D:$D,B39)),0)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IFERROR(IF(B40="",0,SUMIFS(Transactions!$F:$F,Transactions!$G:$G,"Janvier",Transactions!$D:$D,B40)),0)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IFERROR(IF(B41="",0,SUMIFS(Transactions!$F:$F,Transactions!$G:$G,"Janvier",Transactions!$D:$D,B41)),0)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IFERROR(IF(B42="",0,SUMIFS(Transactions!$F:$F,Transactions!$G:$G,"Janvier",Transactions!$D:$D,B42)),0)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IFERROR(IF(B43="",0,SUMIFS(Transactions!$F:$F,Transactions!$G:$G,"Janvier",Transactions!$D:$D,B43)),0)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IFERROR(IF(B44="",0,SUMIFS(Transactions!$F:$F,Transactions!$G:$G,"Janvier",Transactions!$D:$D,B44)),0)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IFERROR(IF(B45="",0,SUMIFS(Transactions!$F:$F,Transactions!$G:$G,"Janvier",Transactions!$D:$D,B45)),0)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IFERROR(IF(B46="",0,SUMIFS(Transactions!$F:$F,Transactions!$G:$G,"Janvier",Transactions!$D:$D,B46)),0)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IFERROR(IF(B47="",0,SUMIFS(Transactions!$F:$F,Transactions!$G:$G,"Janvier",Transactions!$D:$D,B47)),0)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IFERROR(IF(B48="",0,SUMIFS(Transactions!$F:$F,Transactions!$G:$G,"Janvier",Transactions!$D:$D,B48)),0)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IFERROR(IF(B49="",0,SUMIFS(Transactions!$F:$F,Transactions!$G:$G,"Janvier",Transactions!$D:$D,B49)),0)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IFERROR(IF(B50="",0,SUMIFS(Transactions!$F:$F,Transactions!$G:$G,"Janvier",Transactions!$D:$D,B50)),0)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IFERROR(IF(B51="",0,SUMIFS(Transactions!$F:$F,Transactions!$G:$G,"Janvier",Transactions!$D:$D,B51)),0)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IFERROR(IF(B52="",0,SUMIFS(Transactions!$F:$F,Transactions!$G:$G,"Janvier",Transactions!$D:$D,B52)),0)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IFERROR(IF(B53="",0,SUMIFS(Transactions!$F:$F,Transactions!$G:$G,"Janvier",Transactions!$D:$D,B53)),0)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IFERROR(IF(B57="",0,SUMIFS(Transactions!$F:$F,Transactions!$G:$G,"Janvier",Transactions!$D:$D,B57)),0)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IFERROR(IF(B58="",0,SUMIFS(Transactions!$F:$F,Transactions!$G:$G,"Janvier",Transactions!$D:$D,B58)),0)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IFERROR(IF(B59="",0,SUMIFS(Transactions!$F:$F,Transactions!$G:$G,"Janvier",Transactions!$D:$D,B59)),0)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IFERROR(IF(B60="",0,SUMIFS(Transactions!$F:$F,Transactions!$G:$G,"Janvier",Transactions!$D:$D,B60)),0)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IFERROR(IF(B61="",0,SUMIFS(Transactions!$F:$F,Transactions!$G:$G,"Janvier",Transactions!$D:$D,B61)),0)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IFERROR(IF(B62="",0,SUMIFS(Transactions!$F:$F,Transactions!$G:$G,"Janvier",Transactions!$D:$D,B62)),0)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IFERROR(IF(B63="",0,SUMIFS(Transactions!$F:$F,Transactions!$G:$G,"Janvier",Transactions!$D:$D,B63)),0)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8"/>
  <sheetViews>
    <sheetView showGridLines="0" topLeftCell="A56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3" width="25.44140625" customWidth="1"/>
    <col min="4" max="4" width="23.88671875" customWidth="1"/>
    <col min="5" max="5" width="22.21875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99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IFERROR(IF(B8="",0,SUMIFS(Transactions!$F:$F,Transactions!$G:$G,"Février",Transactions!$D:$D,B8)),0)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IFERROR(IF(B9="",0,SUMIFS(Transactions!$F:$F,Transactions!$G:$G,"Février",Transactions!$D:$D,B9)),0)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IFERROR(IF(B10="",0,SUMIFS(Transactions!$F:$F,Transactions!$G:$G,"Février",Transactions!$D:$D,B10)),0)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IFERROR(IF(B11="",0,SUMIFS(Transactions!$F:$F,Transactions!$G:$G,"Février",Transactions!$D:$D,B11)),0)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IFERROR(IF(B12="",0,SUMIFS(Transactions!$F:$F,Transactions!$G:$G,"Février",Transactions!$D:$D,B12)),0)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IFERROR(IF(B13="",0,SUMIFS(Transactions!$F:$F,Transactions!$G:$G,"Février",Transactions!$D:$D,B13)),0)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IFERROR(IF(B14="",0,SUMIFS(Transactions!$F:$F,Transactions!$G:$G,"Février",Transactions!$D:$D,B14)),0)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IFERROR(IF(B18="",0,SUMIFS(Transactions!$F:$F,Transactions!$G:$G,"Février",Transactions!$D:$D,B18)),0)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IFERROR(IF(B19="",0,SUMIFS(Transactions!$F:$F,Transactions!$G:$G,"Février",Transactions!$D:$D,B19)),0)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IFERROR(IF(B20="",0,SUMIFS(Transactions!$F:$F,Transactions!$G:$G,"Février",Transactions!$D:$D,B20)),0)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IFERROR(IF(B21="",0,SUMIFS(Transactions!$F:$F,Transactions!$G:$G,"Février",Transactions!$D:$D,B21)),0)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IFERROR(IF(B22="",0,SUMIFS(Transactions!$F:$F,Transactions!$G:$G,"Février",Transactions!$D:$D,B22)),0)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IFERROR(IF(B23="",0,SUMIFS(Transactions!$F:$F,Transactions!$G:$G,"Février",Transactions!$D:$D,B23)),0)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IFERROR(IF(B24="",0,SUMIFS(Transactions!$F:$F,Transactions!$G:$G,"Février",Transactions!$D:$D,B24)),0)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IFERROR(IF(B25="",0,SUMIFS(Transactions!$F:$F,Transactions!$G:$G,"Février",Transactions!$D:$D,B25)),0)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IFERROR(IF(B26="",0,SUMIFS(Transactions!$F:$F,Transactions!$G:$G,"Février",Transactions!$D:$D,B26)),0)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IFERROR(IF(B27="",0,SUMIFS(Transactions!$F:$F,Transactions!$G:$G,"Février",Transactions!$D:$D,B27)),0)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IFERROR(IF(B28="",0,SUMIFS(Transactions!$F:$F,Transactions!$G:$G,"Février",Transactions!$D:$D,B28)),0)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IFERROR(IF(B29="",0,SUMIFS(Transactions!$F:$F,Transactions!$G:$G,"Février",Transactions!$D:$D,B29)),0)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IFERROR(IF(B30="",0,SUMIFS(Transactions!$F:$F,Transactions!$G:$G,"Février",Transactions!$D:$D,B30)),0)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IFERROR(IF(B31="",0,SUMIFS(Transactions!$F:$F,Transactions!$G:$G,"Février",Transactions!$D:$D,B31)),0)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IFERROR(IF(B32="",0,SUMIFS(Transactions!$F:$F,Transactions!$G:$G,"Février",Transactions!$D:$D,B32)),0)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IFERROR(IF(B33="",0,SUMIFS(Transactions!$F:$F,Transactions!$G:$G,"Février",Transactions!$D:$D,B33)),0)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IFERROR(IF(B34="",0,SUMIFS(Transactions!$F:$F,Transactions!$G:$G,"Février",Transactions!$D:$D,B34)),0)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IFERROR(IF(B35="",0,SUMIFS(Transactions!$F:$F,Transactions!$G:$G,"Février",Transactions!$D:$D,B35)),0)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IFERROR(IF(B39="",0,SUMIFS(Transactions!$F:$F,Transactions!$G:$G,"Février",Transactions!$D:$D,B39)),0)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IFERROR(IF(B40="",0,SUMIFS(Transactions!$F:$F,Transactions!$G:$G,"Février",Transactions!$D:$D,B40)),0)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IFERROR(IF(B41="",0,SUMIFS(Transactions!$F:$F,Transactions!$G:$G,"Février",Transactions!$D:$D,B41)),0)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IFERROR(IF(B42="",0,SUMIFS(Transactions!$F:$F,Transactions!$G:$G,"Février",Transactions!$D:$D,B42)),0)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IFERROR(IF(B43="",0,SUMIFS(Transactions!$F:$F,Transactions!$G:$G,"Février",Transactions!$D:$D,B43)),0)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IFERROR(IF(B44="",0,SUMIFS(Transactions!$F:$F,Transactions!$G:$G,"Février",Transactions!$D:$D,B44)),0)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IFERROR(IF(B45="",0,SUMIFS(Transactions!$F:$F,Transactions!$G:$G,"Février",Transactions!$D:$D,B45)),0)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IFERROR(IF(B46="",0,SUMIFS(Transactions!$F:$F,Transactions!$G:$G,"Février",Transactions!$D:$D,B46)),0)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IFERROR(IF(B47="",0,SUMIFS(Transactions!$F:$F,Transactions!$G:$G,"Février",Transactions!$D:$D,B47)),0)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IFERROR(IF(B48="",0,SUMIFS(Transactions!$F:$F,Transactions!$G:$G,"Février",Transactions!$D:$D,B48)),0)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IFERROR(IF(B49="",0,SUMIFS(Transactions!$F:$F,Transactions!$G:$G,"Février",Transactions!$D:$D,B49)),0)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IFERROR(IF(B50="",0,SUMIFS(Transactions!$F:$F,Transactions!$G:$G,"Février",Transactions!$D:$D,B50)),0)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IFERROR(IF(B51="",0,SUMIFS(Transactions!$F:$F,Transactions!$G:$G,"Février",Transactions!$D:$D,B51)),0)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IFERROR(IF(B52="",0,SUMIFS(Transactions!$F:$F,Transactions!$G:$G,"Février",Transactions!$D:$D,B52)),0)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IFERROR(IF(B53="",0,SUMIFS(Transactions!$F:$F,Transactions!$G:$G,"Février",Transactions!$D:$D,B53)),0)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IFERROR(IF(B57="",0,SUMIFS(Transactions!$F:$F,Transactions!$G:$G,"Février",Transactions!$D:$D,B57)),0)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IFERROR(IF(B58="",0,SUMIFS(Transactions!$F:$F,Transactions!$G:$G,"Février",Transactions!$D:$D,B58)),0)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IFERROR(IF(B59="",0,SUMIFS(Transactions!$F:$F,Transactions!$G:$G,"Février",Transactions!$D:$D,B59)),0)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IFERROR(IF(B60="",0,SUMIFS(Transactions!$F:$F,Transactions!$G:$G,"Février",Transactions!$D:$D,B60)),0)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IFERROR(IF(B61="",0,SUMIFS(Transactions!$F:$F,Transactions!$G:$G,"Février",Transactions!$D:$D,B61)),0)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IFERROR(IF(B62="",0,SUMIFS(Transactions!$F:$F,Transactions!$G:$G,"Février",Transactions!$D:$D,B62)),0)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IFERROR(IF(B63="",0,SUMIFS(Transactions!$F:$F,Transactions!$G:$G,"Février",Transactions!$D:$D,B63)),0)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100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IFERROR(IF(B8="",0,SUMIFS(Transactions!$F:$F,Transactions!$G:$G,"Mars",Transactions!$D:$D,B8)),0)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IFERROR(IF(B9="",0,SUMIFS(Transactions!$F:$F,Transactions!$G:$G,"Mars",Transactions!$D:$D,B9)),0)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IFERROR(IF(B10="",0,SUMIFS(Transactions!$F:$F,Transactions!$G:$G,"Mars",Transactions!$D:$D,B10)),0)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IFERROR(IF(B11="",0,SUMIFS(Transactions!$F:$F,Transactions!$G:$G,"Mars",Transactions!$D:$D,B11)),0)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IFERROR(IF(B12="",0,SUMIFS(Transactions!$F:$F,Transactions!$G:$G,"Mars",Transactions!$D:$D,B12)),0)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IFERROR(IF(B13="",0,SUMIFS(Transactions!$F:$F,Transactions!$G:$G,"Mars",Transactions!$D:$D,B13)),0)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IFERROR(IF(B14="",0,SUMIFS(Transactions!$F:$F,Transactions!$G:$G,"Mars",Transactions!$D:$D,B14)),0)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IFERROR(IF(B18="",0,SUMIFS(Transactions!$F:$F,Transactions!$G:$G,"Mars",Transactions!$D:$D,B18)),0)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IFERROR(IF(B19="",0,SUMIFS(Transactions!$F:$F,Transactions!$G:$G,"Mars",Transactions!$D:$D,B19)),0)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IFERROR(IF(B20="",0,SUMIFS(Transactions!$F:$F,Transactions!$G:$G,"Mars",Transactions!$D:$D,B20)),0)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IFERROR(IF(B21="",0,SUMIFS(Transactions!$F:$F,Transactions!$G:$G,"Mars",Transactions!$D:$D,B21)),0)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IFERROR(IF(B22="",0,SUMIFS(Transactions!$F:$F,Transactions!$G:$G,"Mars",Transactions!$D:$D,B22)),0)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IFERROR(IF(B23="",0,SUMIFS(Transactions!$F:$F,Transactions!$G:$G,"Mars",Transactions!$D:$D,B23)),0)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IFERROR(IF(B24="",0,SUMIFS(Transactions!$F:$F,Transactions!$G:$G,"Mars",Transactions!$D:$D,B24)),0)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IFERROR(IF(B25="",0,SUMIFS(Transactions!$F:$F,Transactions!$G:$G,"Mars",Transactions!$D:$D,B25)),0)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IFERROR(IF(B26="",0,SUMIFS(Transactions!$F:$F,Transactions!$G:$G,"Mars",Transactions!$D:$D,B26)),0)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IFERROR(IF(B27="",0,SUMIFS(Transactions!$F:$F,Transactions!$G:$G,"Mars",Transactions!$D:$D,B27)),0)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IFERROR(IF(B28="",0,SUMIFS(Transactions!$F:$F,Transactions!$G:$G,"Mars",Transactions!$D:$D,B28)),0)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IFERROR(IF(B29="",0,SUMIFS(Transactions!$F:$F,Transactions!$G:$G,"Mars",Transactions!$D:$D,B29)),0)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IFERROR(IF(B30="",0,SUMIFS(Transactions!$F:$F,Transactions!$G:$G,"Mars",Transactions!$D:$D,B30)),0)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IFERROR(IF(B31="",0,SUMIFS(Transactions!$F:$F,Transactions!$G:$G,"Mars",Transactions!$D:$D,B31)),0)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IFERROR(IF(B32="",0,SUMIFS(Transactions!$F:$F,Transactions!$G:$G,"Mars",Transactions!$D:$D,B32)),0)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IFERROR(IF(B33="",0,SUMIFS(Transactions!$F:$F,Transactions!$G:$G,"Mars",Transactions!$D:$D,B33)),0)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IFERROR(IF(B34="",0,SUMIFS(Transactions!$F:$F,Transactions!$G:$G,"Mars",Transactions!$D:$D,B34)),0)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IFERROR(IF(B35="",0,SUMIFS(Transactions!$F:$F,Transactions!$G:$G,"Mars",Transactions!$D:$D,B35)),0)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IFERROR(IF(B39="",0,SUMIFS(Transactions!$F:$F,Transactions!$G:$G,"Mars",Transactions!$D:$D,B39)),0)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IFERROR(IF(B40="",0,SUMIFS(Transactions!$F:$F,Transactions!$G:$G,"Mars",Transactions!$D:$D,B40)),0)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IFERROR(IF(B41="",0,SUMIFS(Transactions!$F:$F,Transactions!$G:$G,"Mars",Transactions!$D:$D,B41)),0)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IFERROR(IF(B42="",0,SUMIFS(Transactions!$F:$F,Transactions!$G:$G,"Mars",Transactions!$D:$D,B42)),0)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IFERROR(IF(B43="",0,SUMIFS(Transactions!$F:$F,Transactions!$G:$G,"Mars",Transactions!$D:$D,B43)),0)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IFERROR(IF(B44="",0,SUMIFS(Transactions!$F:$F,Transactions!$G:$G,"Mars",Transactions!$D:$D,B44)),0)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IFERROR(IF(B45="",0,SUMIFS(Transactions!$F:$F,Transactions!$G:$G,"Mars",Transactions!$D:$D,B45)),0)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IFERROR(IF(B46="",0,SUMIFS(Transactions!$F:$F,Transactions!$G:$G,"Mars",Transactions!$D:$D,B46)),0)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IFERROR(IF(B47="",0,SUMIFS(Transactions!$F:$F,Transactions!$G:$G,"Mars",Transactions!$D:$D,B47)),0)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IFERROR(IF(B48="",0,SUMIFS(Transactions!$F:$F,Transactions!$G:$G,"Mars",Transactions!$D:$D,B48)),0)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IFERROR(IF(B49="",0,SUMIFS(Transactions!$F:$F,Transactions!$G:$G,"Mars",Transactions!$D:$D,B49)),0)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IFERROR(IF(B50="",0,SUMIFS(Transactions!$F:$F,Transactions!$G:$G,"Mars",Transactions!$D:$D,B50)),0)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IFERROR(IF(B51="",0,SUMIFS(Transactions!$F:$F,Transactions!$G:$G,"Mars",Transactions!$D:$D,B51)),0)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IFERROR(IF(B52="",0,SUMIFS(Transactions!$F:$F,Transactions!$G:$G,"Mars",Transactions!$D:$D,B52)),0)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IFERROR(IF(B53="",0,SUMIFS(Transactions!$F:$F,Transactions!$G:$G,"Mars",Transactions!$D:$D,B53)),0)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IFERROR(IF(B57="",0,SUMIFS(Transactions!$F:$F,Transactions!$G:$G,"Mars",Transactions!$D:$D,B57)),0)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IFERROR(IF(B58="",0,SUMIFS(Transactions!$F:$F,Transactions!$G:$G,"Mars",Transactions!$D:$D,B58)),0)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IFERROR(IF(B59="",0,SUMIFS(Transactions!$F:$F,Transactions!$G:$G,"Mars",Transactions!$D:$D,B59)),0)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IFERROR(IF(B60="",0,SUMIFS(Transactions!$F:$F,Transactions!$G:$G,"Mars",Transactions!$D:$D,B60)),0)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IFERROR(IF(B61="",0,SUMIFS(Transactions!$F:$F,Transactions!$G:$G,"Mars",Transactions!$D:$D,B61)),0)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IFERROR(IF(B62="",0,SUMIFS(Transactions!$F:$F,Transactions!$G:$G,"Mars",Transactions!$D:$D,B62)),0)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IFERROR(IF(B63="",0,SUMIFS(Transactions!$F:$F,Transactions!$G:$G,"Mars",Transactions!$D:$D,B63)),0)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101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IFERROR(IF(B8="",0,SUMIFS(Transactions!$F:$F,Transactions!$G:$G,"Avril",Transactions!$D:$D,B8)),0)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IFERROR(IF(B9="",0,SUMIFS(Transactions!$F:$F,Transactions!$G:$G,"Avril",Transactions!$D:$D,B9)),0)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IFERROR(IF(B10="",0,SUMIFS(Transactions!$F:$F,Transactions!$G:$G,"Avril",Transactions!$D:$D,B10)),0)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IFERROR(IF(B11="",0,SUMIFS(Transactions!$F:$F,Transactions!$G:$G,"Avril",Transactions!$D:$D,B11)),0)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IFERROR(IF(B12="",0,SUMIFS(Transactions!$F:$F,Transactions!$G:$G,"Avril",Transactions!$D:$D,B12)),0)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IFERROR(IF(B13="",0,SUMIFS(Transactions!$F:$F,Transactions!$G:$G,"Avril",Transactions!$D:$D,B13)),0)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IFERROR(IF(B14="",0,SUMIFS(Transactions!$F:$F,Transactions!$G:$G,"Avril",Transactions!$D:$D,B14)),0)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IFERROR(IF(B18="",0,SUMIFS(Transactions!$F:$F,Transactions!$G:$G,"Avril",Transactions!$D:$D,B18)),0)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IFERROR(IF(B19="",0,SUMIFS(Transactions!$F:$F,Transactions!$G:$G,"Avril",Transactions!$D:$D,B19)),0)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IFERROR(IF(B20="",0,SUMIFS(Transactions!$F:$F,Transactions!$G:$G,"Avril",Transactions!$D:$D,B20)),0)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IFERROR(IF(B21="",0,SUMIFS(Transactions!$F:$F,Transactions!$G:$G,"Avril",Transactions!$D:$D,B21)),0)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IFERROR(IF(B22="",0,SUMIFS(Transactions!$F:$F,Transactions!$G:$G,"Avril",Transactions!$D:$D,B22)),0)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IFERROR(IF(B23="",0,SUMIFS(Transactions!$F:$F,Transactions!$G:$G,"Avril",Transactions!$D:$D,B23)),0)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IFERROR(IF(B24="",0,SUMIFS(Transactions!$F:$F,Transactions!$G:$G,"Avril",Transactions!$D:$D,B24)),0)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IFERROR(IF(B25="",0,SUMIFS(Transactions!$F:$F,Transactions!$G:$G,"Avril",Transactions!$D:$D,B25)),0)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IFERROR(IF(B26="",0,SUMIFS(Transactions!$F:$F,Transactions!$G:$G,"Avril",Transactions!$D:$D,B26)),0)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IFERROR(IF(B27="",0,SUMIFS(Transactions!$F:$F,Transactions!$G:$G,"Avril",Transactions!$D:$D,B27)),0)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IFERROR(IF(B28="",0,SUMIFS(Transactions!$F:$F,Transactions!$G:$G,"Avril",Transactions!$D:$D,B28)),0)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IFERROR(IF(B29="",0,SUMIFS(Transactions!$F:$F,Transactions!$G:$G,"Avril",Transactions!$D:$D,B29)),0)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IFERROR(IF(B30="",0,SUMIFS(Transactions!$F:$F,Transactions!$G:$G,"Avril",Transactions!$D:$D,B30)),0)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IFERROR(IF(B31="",0,SUMIFS(Transactions!$F:$F,Transactions!$G:$G,"Avril",Transactions!$D:$D,B31)),0)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IFERROR(IF(B32="",0,SUMIFS(Transactions!$F:$F,Transactions!$G:$G,"Avril",Transactions!$D:$D,B32)),0)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IFERROR(IF(B33="",0,SUMIFS(Transactions!$F:$F,Transactions!$G:$G,"Avril",Transactions!$D:$D,B33)),0)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IFERROR(IF(B34="",0,SUMIFS(Transactions!$F:$F,Transactions!$G:$G,"Avril",Transactions!$D:$D,B34)),0)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IFERROR(IF(B35="",0,SUMIFS(Transactions!$F:$F,Transactions!$G:$G,"Avril",Transactions!$D:$D,B35)),0)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IFERROR(IF(B39="",0,SUMIFS(Transactions!$F:$F,Transactions!$G:$G,"Avril",Transactions!$D:$D,B39)),0)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IFERROR(IF(B40="",0,SUMIFS(Transactions!$F:$F,Transactions!$G:$G,"Avril",Transactions!$D:$D,B40)),0)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IFERROR(IF(B41="",0,SUMIFS(Transactions!$F:$F,Transactions!$G:$G,"Avril",Transactions!$D:$D,B41)),0)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IFERROR(IF(B42="",0,SUMIFS(Transactions!$F:$F,Transactions!$G:$G,"Avril",Transactions!$D:$D,B42)),0)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IFERROR(IF(B43="",0,SUMIFS(Transactions!$F:$F,Transactions!$G:$G,"Avril",Transactions!$D:$D,B43)),0)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IFERROR(IF(B44="",0,SUMIFS(Transactions!$F:$F,Transactions!$G:$G,"Avril",Transactions!$D:$D,B44)),0)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IFERROR(IF(B45="",0,SUMIFS(Transactions!$F:$F,Transactions!$G:$G,"Avril",Transactions!$D:$D,B45)),0)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IFERROR(IF(B46="",0,SUMIFS(Transactions!$F:$F,Transactions!$G:$G,"Avril",Transactions!$D:$D,B46)),0)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IFERROR(IF(B47="",0,SUMIFS(Transactions!$F:$F,Transactions!$G:$G,"Avril",Transactions!$D:$D,B47)),0)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IFERROR(IF(B48="",0,SUMIFS(Transactions!$F:$F,Transactions!$G:$G,"Avril",Transactions!$D:$D,B48)),0)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IFERROR(IF(B49="",0,SUMIFS(Transactions!$F:$F,Transactions!$G:$G,"Avril",Transactions!$D:$D,B49)),0)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IFERROR(IF(B50="",0,SUMIFS(Transactions!$F:$F,Transactions!$G:$G,"Avril",Transactions!$D:$D,B50)),0)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IFERROR(IF(B51="",0,SUMIFS(Transactions!$F:$F,Transactions!$G:$G,"Avril",Transactions!$D:$D,B51)),0)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IFERROR(IF(B52="",0,SUMIFS(Transactions!$F:$F,Transactions!$G:$G,"Avril",Transactions!$D:$D,B52)),0)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IFERROR(IF(B53="",0,SUMIFS(Transactions!$F:$F,Transactions!$G:$G,"Avril",Transactions!$D:$D,B53)),0)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IFERROR(IF(B57="",0,SUMIFS(Transactions!$F:$F,Transactions!$G:$G,"Avril",Transactions!$D:$D,B57)),0)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IFERROR(IF(B58="",0,SUMIFS(Transactions!$F:$F,Transactions!$G:$G,"Avril",Transactions!$D:$D,B58)),0)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IFERROR(IF(B59="",0,SUMIFS(Transactions!$F:$F,Transactions!$G:$G,"Avril",Transactions!$D:$D,B59)),0)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IFERROR(IF(B60="",0,SUMIFS(Transactions!$F:$F,Transactions!$G:$G,"Avril",Transactions!$D:$D,B60)),0)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IFERROR(IF(B61="",0,SUMIFS(Transactions!$F:$F,Transactions!$G:$G,"Avril",Transactions!$D:$D,B61)),0)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IFERROR(IF(B62="",0,SUMIFS(Transactions!$F:$F,Transactions!$G:$G,"Avril",Transactions!$D:$D,B62)),0)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IFERROR(IF(B63="",0,SUMIFS(Transactions!$F:$F,Transactions!$G:$G,"Avril",Transactions!$D:$D,B63)),0)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102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IFERROR(IF(B8="",0,SUMIFS(Transactions!$F:$F,Transactions!$G:$G,"Mai",Transactions!$D:$D,B8)),0)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IFERROR(IF(B9="",0,SUMIFS(Transactions!$F:$F,Transactions!$G:$G,"Mai",Transactions!$D:$D,B9)),0)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IFERROR(IF(B10="",0,SUMIFS(Transactions!$F:$F,Transactions!$G:$G,"Mai",Transactions!$D:$D,B10)),0)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IFERROR(IF(B11="",0,SUMIFS(Transactions!$F:$F,Transactions!$G:$G,"Mai",Transactions!$D:$D,B11)),0)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IFERROR(IF(B12="",0,SUMIFS(Transactions!$F:$F,Transactions!$G:$G,"Mai",Transactions!$D:$D,B12)),0)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IFERROR(IF(B13="",0,SUMIFS(Transactions!$F:$F,Transactions!$G:$G,"Mai",Transactions!$D:$D,B13)),0)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IFERROR(IF(B14="",0,SUMIFS(Transactions!$F:$F,Transactions!$G:$G,"Mai",Transactions!$D:$D,B14)),0)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IFERROR(IF(B18="",0,SUMIFS(Transactions!$F:$F,Transactions!$G:$G,"Mai",Transactions!$D:$D,B18)),0)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IFERROR(IF(B19="",0,SUMIFS(Transactions!$F:$F,Transactions!$G:$G,"Mai",Transactions!$D:$D,B19)),0)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IFERROR(IF(B20="",0,SUMIFS(Transactions!$F:$F,Transactions!$G:$G,"Mai",Transactions!$D:$D,B20)),0)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IFERROR(IF(B21="",0,SUMIFS(Transactions!$F:$F,Transactions!$G:$G,"Mai",Transactions!$D:$D,B21)),0)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IFERROR(IF(B22="",0,SUMIFS(Transactions!$F:$F,Transactions!$G:$G,"Mai",Transactions!$D:$D,B22)),0)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IFERROR(IF(B23="",0,SUMIFS(Transactions!$F:$F,Transactions!$G:$G,"Mai",Transactions!$D:$D,B23)),0)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IFERROR(IF(B24="",0,SUMIFS(Transactions!$F:$F,Transactions!$G:$G,"Mai",Transactions!$D:$D,B24)),0)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IFERROR(IF(B25="",0,SUMIFS(Transactions!$F:$F,Transactions!$G:$G,"Mai",Transactions!$D:$D,B25)),0)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IFERROR(IF(B26="",0,SUMIFS(Transactions!$F:$F,Transactions!$G:$G,"Mai",Transactions!$D:$D,B26)),0)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IFERROR(IF(B27="",0,SUMIFS(Transactions!$F:$F,Transactions!$G:$G,"Mai",Transactions!$D:$D,B27)),0)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IFERROR(IF(B28="",0,SUMIFS(Transactions!$F:$F,Transactions!$G:$G,"Mai",Transactions!$D:$D,B28)),0)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IFERROR(IF(B29="",0,SUMIFS(Transactions!$F:$F,Transactions!$G:$G,"Mai",Transactions!$D:$D,B29)),0)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IFERROR(IF(B30="",0,SUMIFS(Transactions!$F:$F,Transactions!$G:$G,"Mai",Transactions!$D:$D,B30)),0)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IFERROR(IF(B31="",0,SUMIFS(Transactions!$F:$F,Transactions!$G:$G,"Mai",Transactions!$D:$D,B31)),0)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IFERROR(IF(B32="",0,SUMIFS(Transactions!$F:$F,Transactions!$G:$G,"Mai",Transactions!$D:$D,B32)),0)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IFERROR(IF(B33="",0,SUMIFS(Transactions!$F:$F,Transactions!$G:$G,"Mai",Transactions!$D:$D,B33)),0)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IFERROR(IF(B34="",0,SUMIFS(Transactions!$F:$F,Transactions!$G:$G,"Mai",Transactions!$D:$D,B34)),0)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IFERROR(IF(B35="",0,SUMIFS(Transactions!$F:$F,Transactions!$G:$G,"Mai",Transactions!$D:$D,B35)),0)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IFERROR(IF(B39="",0,SUMIFS(Transactions!$F:$F,Transactions!$G:$G,"Mai",Transactions!$D:$D,B39)),0)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IFERROR(IF(B40="",0,SUMIFS(Transactions!$F:$F,Transactions!$G:$G,"Mai",Transactions!$D:$D,B40)),0)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IFERROR(IF(B41="",0,SUMIFS(Transactions!$F:$F,Transactions!$G:$G,"Mai",Transactions!$D:$D,B41)),0)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IFERROR(IF(B42="",0,SUMIFS(Transactions!$F:$F,Transactions!$G:$G,"Mai",Transactions!$D:$D,B42)),0)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IFERROR(IF(B43="",0,SUMIFS(Transactions!$F:$F,Transactions!$G:$G,"Mai",Transactions!$D:$D,B43)),0)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IFERROR(IF(B44="",0,SUMIFS(Transactions!$F:$F,Transactions!$G:$G,"Mai",Transactions!$D:$D,B44)),0)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IFERROR(IF(B45="",0,SUMIFS(Transactions!$F:$F,Transactions!$G:$G,"Mai",Transactions!$D:$D,B45)),0)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IFERROR(IF(B46="",0,SUMIFS(Transactions!$F:$F,Transactions!$G:$G,"Mai",Transactions!$D:$D,B46)),0)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IFERROR(IF(B47="",0,SUMIFS(Transactions!$F:$F,Transactions!$G:$G,"Mai",Transactions!$D:$D,B47)),0)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IFERROR(IF(B48="",0,SUMIFS(Transactions!$F:$F,Transactions!$G:$G,"Mai",Transactions!$D:$D,B48)),0)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IFERROR(IF(B49="",0,SUMIFS(Transactions!$F:$F,Transactions!$G:$G,"Mai",Transactions!$D:$D,B49)),0)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IFERROR(IF(B50="",0,SUMIFS(Transactions!$F:$F,Transactions!$G:$G,"Mai",Transactions!$D:$D,B50)),0)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IFERROR(IF(B51="",0,SUMIFS(Transactions!$F:$F,Transactions!$G:$G,"Mai",Transactions!$D:$D,B51)),0)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IFERROR(IF(B52="",0,SUMIFS(Transactions!$F:$F,Transactions!$G:$G,"Mai",Transactions!$D:$D,B52)),0)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IFERROR(IF(B53="",0,SUMIFS(Transactions!$F:$F,Transactions!$G:$G,"Mai",Transactions!$D:$D,B53)),0)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IFERROR(IF(B57="",0,SUMIFS(Transactions!$F:$F,Transactions!$G:$G,"Mai",Transactions!$D:$D,B57)),0)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IFERROR(IF(B58="",0,SUMIFS(Transactions!$F:$F,Transactions!$G:$G,"Mai",Transactions!$D:$D,B58)),0)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IFERROR(IF(B59="",0,SUMIFS(Transactions!$F:$F,Transactions!$G:$G,"Mai",Transactions!$D:$D,B59)),0)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IFERROR(IF(B60="",0,SUMIFS(Transactions!$F:$F,Transactions!$G:$G,"Mai",Transactions!$D:$D,B60)),0)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IFERROR(IF(B61="",0,SUMIFS(Transactions!$F:$F,Transactions!$G:$G,"Mai",Transactions!$D:$D,B61)),0)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IFERROR(IF(B62="",0,SUMIFS(Transactions!$F:$F,Transactions!$G:$G,"Mai",Transactions!$D:$D,B62)),0)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IFERROR(IF(B63="",0,SUMIFS(Transactions!$F:$F,Transactions!$G:$G,"Mai",Transactions!$D:$D,B63)),0)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103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IFERROR(IF(B8="",0,SUMIFS(Transactions!$F:$F,Transactions!$G:$G,"Juin",Transactions!$D:$D,B8)),0)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IFERROR(IF(B9="",0,SUMIFS(Transactions!$F:$F,Transactions!$G:$G,"Juin",Transactions!$D:$D,B9)),0)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IFERROR(IF(B10="",0,SUMIFS(Transactions!$F:$F,Transactions!$G:$G,"Juin",Transactions!$D:$D,B10)),0)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IFERROR(IF(B11="",0,SUMIFS(Transactions!$F:$F,Transactions!$G:$G,"Juin",Transactions!$D:$D,B11)),0)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IFERROR(IF(B12="",0,SUMIFS(Transactions!$F:$F,Transactions!$G:$G,"Juin",Transactions!$D:$D,B12)),0)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IFERROR(IF(B13="",0,SUMIFS(Transactions!$F:$F,Transactions!$G:$G,"Juin",Transactions!$D:$D,B13)),0)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IFERROR(IF(B14="",0,SUMIFS(Transactions!$F:$F,Transactions!$G:$G,"Juin",Transactions!$D:$D,B14)),0)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IFERROR(IF(B18="",0,SUMIFS(Transactions!$F:$F,Transactions!$G:$G,"Juin",Transactions!$D:$D,B18)),0)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IFERROR(IF(B19="",0,SUMIFS(Transactions!$F:$F,Transactions!$G:$G,"Juin",Transactions!$D:$D,B19)),0)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IFERROR(IF(B20="",0,SUMIFS(Transactions!$F:$F,Transactions!$G:$G,"Juin",Transactions!$D:$D,B20)),0)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IFERROR(IF(B21="",0,SUMIFS(Transactions!$F:$F,Transactions!$G:$G,"Juin",Transactions!$D:$D,B21)),0)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IFERROR(IF(B22="",0,SUMIFS(Transactions!$F:$F,Transactions!$G:$G,"Juin",Transactions!$D:$D,B22)),0)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IFERROR(IF(B23="",0,SUMIFS(Transactions!$F:$F,Transactions!$G:$G,"Juin",Transactions!$D:$D,B23)),0)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IFERROR(IF(B24="",0,SUMIFS(Transactions!$F:$F,Transactions!$G:$G,"Juin",Transactions!$D:$D,B24)),0)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IFERROR(IF(B25="",0,SUMIFS(Transactions!$F:$F,Transactions!$G:$G,"Juin",Transactions!$D:$D,B25)),0)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IFERROR(IF(B26="",0,SUMIFS(Transactions!$F:$F,Transactions!$G:$G,"Juin",Transactions!$D:$D,B26)),0)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IFERROR(IF(B27="",0,SUMIFS(Transactions!$F:$F,Transactions!$G:$G,"Juin",Transactions!$D:$D,B27)),0)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IFERROR(IF(B28="",0,SUMIFS(Transactions!$F:$F,Transactions!$G:$G,"Juin",Transactions!$D:$D,B28)),0)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IFERROR(IF(B29="",0,SUMIFS(Transactions!$F:$F,Transactions!$G:$G,"Juin",Transactions!$D:$D,B29)),0)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IFERROR(IF(B30="",0,SUMIFS(Transactions!$F:$F,Transactions!$G:$G,"Juin",Transactions!$D:$D,B30)),0)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IFERROR(IF(B31="",0,SUMIFS(Transactions!$F:$F,Transactions!$G:$G,"Juin",Transactions!$D:$D,B31)),0)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IFERROR(IF(B32="",0,SUMIFS(Transactions!$F:$F,Transactions!$G:$G,"Juin",Transactions!$D:$D,B32)),0)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IFERROR(IF(B33="",0,SUMIFS(Transactions!$F:$F,Transactions!$G:$G,"Juin",Transactions!$D:$D,B33)),0)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IFERROR(IF(B34="",0,SUMIFS(Transactions!$F:$F,Transactions!$G:$G,"Juin",Transactions!$D:$D,B34)),0)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IFERROR(IF(B35="",0,SUMIFS(Transactions!$F:$F,Transactions!$G:$G,"Juin",Transactions!$D:$D,B35)),0)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IFERROR(IF(B39="",0,SUMIFS(Transactions!$F:$F,Transactions!$G:$G,"Juin",Transactions!$D:$D,B39)),0)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IFERROR(IF(B40="",0,SUMIFS(Transactions!$F:$F,Transactions!$G:$G,"Juin",Transactions!$D:$D,B40)),0)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IFERROR(IF(B41="",0,SUMIFS(Transactions!$F:$F,Transactions!$G:$G,"Juin",Transactions!$D:$D,B41)),0)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IFERROR(IF(B42="",0,SUMIFS(Transactions!$F:$F,Transactions!$G:$G,"Juin",Transactions!$D:$D,B42)),0)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IFERROR(IF(B43="",0,SUMIFS(Transactions!$F:$F,Transactions!$G:$G,"Juin",Transactions!$D:$D,B43)),0)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IFERROR(IF(B44="",0,SUMIFS(Transactions!$F:$F,Transactions!$G:$G,"Juin",Transactions!$D:$D,B44)),0)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IFERROR(IF(B45="",0,SUMIFS(Transactions!$F:$F,Transactions!$G:$G,"Juin",Transactions!$D:$D,B45)),0)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IFERROR(IF(B46="",0,SUMIFS(Transactions!$F:$F,Transactions!$G:$G,"Juin",Transactions!$D:$D,B46)),0)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IFERROR(IF(B47="",0,SUMIFS(Transactions!$F:$F,Transactions!$G:$G,"Juin",Transactions!$D:$D,B47)),0)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IFERROR(IF(B48="",0,SUMIFS(Transactions!$F:$F,Transactions!$G:$G,"Juin",Transactions!$D:$D,B48)),0)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IFERROR(IF(B49="",0,SUMIFS(Transactions!$F:$F,Transactions!$G:$G,"Juin",Transactions!$D:$D,B49)),0)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IFERROR(IF(B50="",0,SUMIFS(Transactions!$F:$F,Transactions!$G:$G,"Juin",Transactions!$D:$D,B50)),0)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IFERROR(IF(B51="",0,SUMIFS(Transactions!$F:$F,Transactions!$G:$G,"Juin",Transactions!$D:$D,B51)),0)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IFERROR(IF(B52="",0,SUMIFS(Transactions!$F:$F,Transactions!$G:$G,"Juin",Transactions!$D:$D,B52)),0)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IFERROR(IF(B53="",0,SUMIFS(Transactions!$F:$F,Transactions!$G:$G,"Juin",Transactions!$D:$D,B53)),0)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IFERROR(IF(B57="",0,SUMIFS(Transactions!$F:$F,Transactions!$G:$G,"Juin",Transactions!$D:$D,B57)),0)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IFERROR(IF(B58="",0,SUMIFS(Transactions!$F:$F,Transactions!$G:$G,"Juin",Transactions!$D:$D,B58)),0)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IFERROR(IF(B59="",0,SUMIFS(Transactions!$F:$F,Transactions!$G:$G,"Juin",Transactions!$D:$D,B59)),0)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IFERROR(IF(B60="",0,SUMIFS(Transactions!$F:$F,Transactions!$G:$G,"Juin",Transactions!$D:$D,B60)),0)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IFERROR(IF(B61="",0,SUMIFS(Transactions!$F:$F,Transactions!$G:$G,"Juin",Transactions!$D:$D,B61)),0)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IFERROR(IF(B62="",0,SUMIFS(Transactions!$F:$F,Transactions!$G:$G,"Juin",Transactions!$D:$D,B62)),0)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IFERROR(IF(B63="",0,SUMIFS(Transactions!$F:$F,Transactions!$G:$G,"Juin",Transactions!$D:$D,B63)),0)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104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IFERROR(IF(B8="",0,SUMIFS(Transactions!$F:$F,Transactions!$G:$G,"Juillet",Transactions!$D:$D,B8)),0)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IFERROR(IF(B9="",0,SUMIFS(Transactions!$F:$F,Transactions!$G:$G,"Juillet",Transactions!$D:$D,B9)),0)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IFERROR(IF(B10="",0,SUMIFS(Transactions!$F:$F,Transactions!$G:$G,"Juillet",Transactions!$D:$D,B10)),0)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IFERROR(IF(B11="",0,SUMIFS(Transactions!$F:$F,Transactions!$G:$G,"Juillet",Transactions!$D:$D,B11)),0)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IFERROR(IF(B12="",0,SUMIFS(Transactions!$F:$F,Transactions!$G:$G,"Juillet",Transactions!$D:$D,B12)),0)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IFERROR(IF(B13="",0,SUMIFS(Transactions!$F:$F,Transactions!$G:$G,"Juillet",Transactions!$D:$D,B13)),0)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IFERROR(IF(B14="",0,SUMIFS(Transactions!$F:$F,Transactions!$G:$G,"Juillet",Transactions!$D:$D,B14)),0)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IFERROR(IF(B18="",0,SUMIFS(Transactions!$F:$F,Transactions!$G:$G,"Juillet",Transactions!$D:$D,B18)),0)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IFERROR(IF(B19="",0,SUMIFS(Transactions!$F:$F,Transactions!$G:$G,"Juillet",Transactions!$D:$D,B19)),0)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IFERROR(IF(B20="",0,SUMIFS(Transactions!$F:$F,Transactions!$G:$G,"Juillet",Transactions!$D:$D,B20)),0)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IFERROR(IF(B21="",0,SUMIFS(Transactions!$F:$F,Transactions!$G:$G,"Juillet",Transactions!$D:$D,B21)),0)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IFERROR(IF(B22="",0,SUMIFS(Transactions!$F:$F,Transactions!$G:$G,"Juillet",Transactions!$D:$D,B22)),0)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IFERROR(IF(B23="",0,SUMIFS(Transactions!$F:$F,Transactions!$G:$G,"Juillet",Transactions!$D:$D,B23)),0)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IFERROR(IF(B24="",0,SUMIFS(Transactions!$F:$F,Transactions!$G:$G,"Juillet",Transactions!$D:$D,B24)),0)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IFERROR(IF(B25="",0,SUMIFS(Transactions!$F:$F,Transactions!$G:$G,"Juillet",Transactions!$D:$D,B25)),0)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IFERROR(IF(B26="",0,SUMIFS(Transactions!$F:$F,Transactions!$G:$G,"Juillet",Transactions!$D:$D,B26)),0)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IFERROR(IF(B27="",0,SUMIFS(Transactions!$F:$F,Transactions!$G:$G,"Juillet",Transactions!$D:$D,B27)),0)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IFERROR(IF(B28="",0,SUMIFS(Transactions!$F:$F,Transactions!$G:$G,"Juillet",Transactions!$D:$D,B28)),0)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IFERROR(IF(B29="",0,SUMIFS(Transactions!$F:$F,Transactions!$G:$G,"Juillet",Transactions!$D:$D,B29)),0)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IFERROR(IF(B30="",0,SUMIFS(Transactions!$F:$F,Transactions!$G:$G,"Juillet",Transactions!$D:$D,B30)),0)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IFERROR(IF(B31="",0,SUMIFS(Transactions!$F:$F,Transactions!$G:$G,"Juillet",Transactions!$D:$D,B31)),0)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IFERROR(IF(B32="",0,SUMIFS(Transactions!$F:$F,Transactions!$G:$G,"Juillet",Transactions!$D:$D,B32)),0)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IFERROR(IF(B33="",0,SUMIFS(Transactions!$F:$F,Transactions!$G:$G,"Juillet",Transactions!$D:$D,B33)),0)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IFERROR(IF(B34="",0,SUMIFS(Transactions!$F:$F,Transactions!$G:$G,"Juillet",Transactions!$D:$D,B34)),0)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IFERROR(IF(B35="",0,SUMIFS(Transactions!$F:$F,Transactions!$G:$G,"Juillet",Transactions!$D:$D,B35)),0)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IFERROR(IF(B39="",0,SUMIFS(Transactions!$F:$F,Transactions!$G:$G,"Juillet",Transactions!$D:$D,B39)),0)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IFERROR(IF(B40="",0,SUMIFS(Transactions!$F:$F,Transactions!$G:$G,"Juillet",Transactions!$D:$D,B40)),0)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IFERROR(IF(B41="",0,SUMIFS(Transactions!$F:$F,Transactions!$G:$G,"Juillet",Transactions!$D:$D,B41)),0)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IFERROR(IF(B42="",0,SUMIFS(Transactions!$F:$F,Transactions!$G:$G,"Juillet",Transactions!$D:$D,B42)),0)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IFERROR(IF(B43="",0,SUMIFS(Transactions!$F:$F,Transactions!$G:$G,"Juillet",Transactions!$D:$D,B43)),0)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IFERROR(IF(B44="",0,SUMIFS(Transactions!$F:$F,Transactions!$G:$G,"Juillet",Transactions!$D:$D,B44)),0)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IFERROR(IF(B45="",0,SUMIFS(Transactions!$F:$F,Transactions!$G:$G,"Juillet",Transactions!$D:$D,B45)),0)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IFERROR(IF(B46="",0,SUMIFS(Transactions!$F:$F,Transactions!$G:$G,"Juillet",Transactions!$D:$D,B46)),0)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IFERROR(IF(B47="",0,SUMIFS(Transactions!$F:$F,Transactions!$G:$G,"Juillet",Transactions!$D:$D,B47)),0)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IFERROR(IF(B48="",0,SUMIFS(Transactions!$F:$F,Transactions!$G:$G,"Juillet",Transactions!$D:$D,B48)),0)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IFERROR(IF(B49="",0,SUMIFS(Transactions!$F:$F,Transactions!$G:$G,"Juillet",Transactions!$D:$D,B49)),0)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IFERROR(IF(B50="",0,SUMIFS(Transactions!$F:$F,Transactions!$G:$G,"Juillet",Transactions!$D:$D,B50)),0)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IFERROR(IF(B51="",0,SUMIFS(Transactions!$F:$F,Transactions!$G:$G,"Juillet",Transactions!$D:$D,B51)),0)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IFERROR(IF(B52="",0,SUMIFS(Transactions!$F:$F,Transactions!$G:$G,"Juillet",Transactions!$D:$D,B52)),0)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IFERROR(IF(B53="",0,SUMIFS(Transactions!$F:$F,Transactions!$G:$G,"Juillet",Transactions!$D:$D,B53)),0)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IFERROR(IF(B57="",0,SUMIFS(Transactions!$F:$F,Transactions!$G:$G,"Juillet",Transactions!$D:$D,B57)),0)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IFERROR(IF(B58="",0,SUMIFS(Transactions!$F:$F,Transactions!$G:$G,"Juillet",Transactions!$D:$D,B58)),0)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IFERROR(IF(B59="",0,SUMIFS(Transactions!$F:$F,Transactions!$G:$G,"Juillet",Transactions!$D:$D,B59)),0)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IFERROR(IF(B60="",0,SUMIFS(Transactions!$F:$F,Transactions!$G:$G,"Juillet",Transactions!$D:$D,B60)),0)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IFERROR(IF(B61="",0,SUMIFS(Transactions!$F:$F,Transactions!$G:$G,"Juillet",Transactions!$D:$D,B61)),0)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IFERROR(IF(B62="",0,SUMIFS(Transactions!$F:$F,Transactions!$G:$G,"Juillet",Transactions!$D:$D,B62)),0)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IFERROR(IF(B63="",0,SUMIFS(Transactions!$F:$F,Transactions!$G:$G,"Juillet",Transactions!$D:$D,B63)),0)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105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IFERROR(IF(B8="",0,SUMIFS(Transactions!$F:$F,Transactions!$G:$G,"Août",Transactions!$D:$D,B8)),0)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IFERROR(IF(B9="",0,SUMIFS(Transactions!$F:$F,Transactions!$G:$G,"Août",Transactions!$D:$D,B9)),0)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IFERROR(IF(B10="",0,SUMIFS(Transactions!$F:$F,Transactions!$G:$G,"Août",Transactions!$D:$D,B10)),0)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IFERROR(IF(B11="",0,SUMIFS(Transactions!$F:$F,Transactions!$G:$G,"Août",Transactions!$D:$D,B11)),0)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IFERROR(IF(B12="",0,SUMIFS(Transactions!$F:$F,Transactions!$G:$G,"Août",Transactions!$D:$D,B12)),0)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IFERROR(IF(B13="",0,SUMIFS(Transactions!$F:$F,Transactions!$G:$G,"Août",Transactions!$D:$D,B13)),0)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IFERROR(IF(B14="",0,SUMIFS(Transactions!$F:$F,Transactions!$G:$G,"Août",Transactions!$D:$D,B14)),0)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IFERROR(IF(B18="",0,SUMIFS(Transactions!$F:$F,Transactions!$G:$G,"Août",Transactions!$D:$D,B18)),0)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IFERROR(IF(B19="",0,SUMIFS(Transactions!$F:$F,Transactions!$G:$G,"Août",Transactions!$D:$D,B19)),0)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IFERROR(IF(B20="",0,SUMIFS(Transactions!$F:$F,Transactions!$G:$G,"Août",Transactions!$D:$D,B20)),0)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IFERROR(IF(B21="",0,SUMIFS(Transactions!$F:$F,Transactions!$G:$G,"Août",Transactions!$D:$D,B21)),0)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IFERROR(IF(B22="",0,SUMIFS(Transactions!$F:$F,Transactions!$G:$G,"Août",Transactions!$D:$D,B22)),0)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IFERROR(IF(B23="",0,SUMIFS(Transactions!$F:$F,Transactions!$G:$G,"Août",Transactions!$D:$D,B23)),0)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IFERROR(IF(B24="",0,SUMIFS(Transactions!$F:$F,Transactions!$G:$G,"Août",Transactions!$D:$D,B24)),0)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IFERROR(IF(B25="",0,SUMIFS(Transactions!$F:$F,Transactions!$G:$G,"Août",Transactions!$D:$D,B25)),0)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IFERROR(IF(B26="",0,SUMIFS(Transactions!$F:$F,Transactions!$G:$G,"Août",Transactions!$D:$D,B26)),0)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IFERROR(IF(B27="",0,SUMIFS(Transactions!$F:$F,Transactions!$G:$G,"Août",Transactions!$D:$D,B27)),0)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IFERROR(IF(B28="",0,SUMIFS(Transactions!$F:$F,Transactions!$G:$G,"Août",Transactions!$D:$D,B28)),0)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IFERROR(IF(B29="",0,SUMIFS(Transactions!$F:$F,Transactions!$G:$G,"Août",Transactions!$D:$D,B29)),0)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IFERROR(IF(B30="",0,SUMIFS(Transactions!$F:$F,Transactions!$G:$G,"Août",Transactions!$D:$D,B30)),0)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IFERROR(IF(B31="",0,SUMIFS(Transactions!$F:$F,Transactions!$G:$G,"Août",Transactions!$D:$D,B31)),0)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IFERROR(IF(B32="",0,SUMIFS(Transactions!$F:$F,Transactions!$G:$G,"Août",Transactions!$D:$D,B32)),0)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IFERROR(IF(B33="",0,SUMIFS(Transactions!$F:$F,Transactions!$G:$G,"Août",Transactions!$D:$D,B33)),0)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IFERROR(IF(B34="",0,SUMIFS(Transactions!$F:$F,Transactions!$G:$G,"Août",Transactions!$D:$D,B34)),0)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IFERROR(IF(B35="",0,SUMIFS(Transactions!$F:$F,Transactions!$G:$G,"Août",Transactions!$D:$D,B35)),0)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IFERROR(IF(B39="",0,SUMIFS(Transactions!$F:$F,Transactions!$G:$G,"Août",Transactions!$D:$D,B39)),0)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IFERROR(IF(B40="",0,SUMIFS(Transactions!$F:$F,Transactions!$G:$G,"Août",Transactions!$D:$D,B40)),0)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IFERROR(IF(B41="",0,SUMIFS(Transactions!$F:$F,Transactions!$G:$G,"Août",Transactions!$D:$D,B41)),0)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IFERROR(IF(B42="",0,SUMIFS(Transactions!$F:$F,Transactions!$G:$G,"Août",Transactions!$D:$D,B42)),0)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IFERROR(IF(B43="",0,SUMIFS(Transactions!$F:$F,Transactions!$G:$G,"Août",Transactions!$D:$D,B43)),0)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IFERROR(IF(B44="",0,SUMIFS(Transactions!$F:$F,Transactions!$G:$G,"Août",Transactions!$D:$D,B44)),0)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IFERROR(IF(B45="",0,SUMIFS(Transactions!$F:$F,Transactions!$G:$G,"Août",Transactions!$D:$D,B45)),0)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IFERROR(IF(B46="",0,SUMIFS(Transactions!$F:$F,Transactions!$G:$G,"Août",Transactions!$D:$D,B46)),0)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IFERROR(IF(B47="",0,SUMIFS(Transactions!$F:$F,Transactions!$G:$G,"Août",Transactions!$D:$D,B47)),0)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IFERROR(IF(B48="",0,SUMIFS(Transactions!$F:$F,Transactions!$G:$G,"Août",Transactions!$D:$D,B48)),0)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IFERROR(IF(B49="",0,SUMIFS(Transactions!$F:$F,Transactions!$G:$G,"Août",Transactions!$D:$D,B49)),0)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IFERROR(IF(B50="",0,SUMIFS(Transactions!$F:$F,Transactions!$G:$G,"Août",Transactions!$D:$D,B50)),0)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IFERROR(IF(B51="",0,SUMIFS(Transactions!$F:$F,Transactions!$G:$G,"Août",Transactions!$D:$D,B51)),0)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IFERROR(IF(B52="",0,SUMIFS(Transactions!$F:$F,Transactions!$G:$G,"Août",Transactions!$D:$D,B52)),0)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IFERROR(IF(B53="",0,SUMIFS(Transactions!$F:$F,Transactions!$G:$G,"Août",Transactions!$D:$D,B53)),0)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IFERROR(IF(B57="",0,SUMIFS(Transactions!$F:$F,Transactions!$G:$G,"Août",Transactions!$D:$D,B57)),0)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IFERROR(IF(B58="",0,SUMIFS(Transactions!$F:$F,Transactions!$G:$G,"Août",Transactions!$D:$D,B58)),0)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IFERROR(IF(B59="",0,SUMIFS(Transactions!$F:$F,Transactions!$G:$G,"Août",Transactions!$D:$D,B59)),0)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IFERROR(IF(B60="",0,SUMIFS(Transactions!$F:$F,Transactions!$G:$G,"Août",Transactions!$D:$D,B60)),0)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IFERROR(IF(B61="",0,SUMIFS(Transactions!$F:$F,Transactions!$G:$G,"Août",Transactions!$D:$D,B61)),0)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IFERROR(IF(B62="",0,SUMIFS(Transactions!$F:$F,Transactions!$G:$G,"Août",Transactions!$D:$D,B62)),0)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IFERROR(IF(B63="",0,SUMIFS(Transactions!$F:$F,Transactions!$G:$G,"Août",Transactions!$D:$D,B63)),0)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106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IFERROR(IF(B8="",0,SUMIFS(Transactions!$F:$F,Transactions!$G:$G,"Septembre",Transactions!$D:$D,B8)),0)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IFERROR(IF(B9="",0,SUMIFS(Transactions!$F:$F,Transactions!$G:$G,"Septembre",Transactions!$D:$D,B9)),0)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IFERROR(IF(B10="",0,SUMIFS(Transactions!$F:$F,Transactions!$G:$G,"Septembre",Transactions!$D:$D,B10)),0)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IFERROR(IF(B11="",0,SUMIFS(Transactions!$F:$F,Transactions!$G:$G,"Septembre",Transactions!$D:$D,B11)),0)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IFERROR(IF(B12="",0,SUMIFS(Transactions!$F:$F,Transactions!$G:$G,"Septembre",Transactions!$D:$D,B12)),0)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IFERROR(IF(B13="",0,SUMIFS(Transactions!$F:$F,Transactions!$G:$G,"Septembre",Transactions!$D:$D,B13)),0)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IFERROR(IF(B14="",0,SUMIFS(Transactions!$F:$F,Transactions!$G:$G,"Septembre",Transactions!$D:$D,B14)),0)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IFERROR(IF(B18="",0,SUMIFS(Transactions!$F:$F,Transactions!$G:$G,"Septembre",Transactions!$D:$D,B18)),0)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IFERROR(IF(B19="",0,SUMIFS(Transactions!$F:$F,Transactions!$G:$G,"Septembre",Transactions!$D:$D,B19)),0)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IFERROR(IF(B20="",0,SUMIFS(Transactions!$F:$F,Transactions!$G:$G,"Septembre",Transactions!$D:$D,B20)),0)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IFERROR(IF(B21="",0,SUMIFS(Transactions!$F:$F,Transactions!$G:$G,"Septembre",Transactions!$D:$D,B21)),0)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IFERROR(IF(B22="",0,SUMIFS(Transactions!$F:$F,Transactions!$G:$G,"Septembre",Transactions!$D:$D,B22)),0)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IFERROR(IF(B23="",0,SUMIFS(Transactions!$F:$F,Transactions!$G:$G,"Septembre",Transactions!$D:$D,B23)),0)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IFERROR(IF(B24="",0,SUMIFS(Transactions!$F:$F,Transactions!$G:$G,"Septembre",Transactions!$D:$D,B24)),0)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IFERROR(IF(B25="",0,SUMIFS(Transactions!$F:$F,Transactions!$G:$G,"Septembre",Transactions!$D:$D,B25)),0)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IFERROR(IF(B26="",0,SUMIFS(Transactions!$F:$F,Transactions!$G:$G,"Septembre",Transactions!$D:$D,B26)),0)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IFERROR(IF(B27="",0,SUMIFS(Transactions!$F:$F,Transactions!$G:$G,"Septembre",Transactions!$D:$D,B27)),0)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IFERROR(IF(B28="",0,SUMIFS(Transactions!$F:$F,Transactions!$G:$G,"Septembre",Transactions!$D:$D,B28)),0)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IFERROR(IF(B29="",0,SUMIFS(Transactions!$F:$F,Transactions!$G:$G,"Septembre",Transactions!$D:$D,B29)),0)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IFERROR(IF(B30="",0,SUMIFS(Transactions!$F:$F,Transactions!$G:$G,"Septembre",Transactions!$D:$D,B30)),0)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IFERROR(IF(B31="",0,SUMIFS(Transactions!$F:$F,Transactions!$G:$G,"Septembre",Transactions!$D:$D,B31)),0)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IFERROR(IF(B32="",0,SUMIFS(Transactions!$F:$F,Transactions!$G:$G,"Septembre",Transactions!$D:$D,B32)),0)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IFERROR(IF(B33="",0,SUMIFS(Transactions!$F:$F,Transactions!$G:$G,"Septembre",Transactions!$D:$D,B33)),0)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IFERROR(IF(B34="",0,SUMIFS(Transactions!$F:$F,Transactions!$G:$G,"Septembre",Transactions!$D:$D,B34)),0)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IFERROR(IF(B35="",0,SUMIFS(Transactions!$F:$F,Transactions!$G:$G,"Septembre",Transactions!$D:$D,B35)),0)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IFERROR(IF(B39="",0,SUMIFS(Transactions!$F:$F,Transactions!$G:$G,"Septembre",Transactions!$D:$D,B39)),0)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IFERROR(IF(B40="",0,SUMIFS(Transactions!$F:$F,Transactions!$G:$G,"Septembre",Transactions!$D:$D,B40)),0)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IFERROR(IF(B41="",0,SUMIFS(Transactions!$F:$F,Transactions!$G:$G,"Septembre",Transactions!$D:$D,B41)),0)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IFERROR(IF(B42="",0,SUMIFS(Transactions!$F:$F,Transactions!$G:$G,"Septembre",Transactions!$D:$D,B42)),0)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IFERROR(IF(B43="",0,SUMIFS(Transactions!$F:$F,Transactions!$G:$G,"Septembre",Transactions!$D:$D,B43)),0)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IFERROR(IF(B44="",0,SUMIFS(Transactions!$F:$F,Transactions!$G:$G,"Septembre",Transactions!$D:$D,B44)),0)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IFERROR(IF(B45="",0,SUMIFS(Transactions!$F:$F,Transactions!$G:$G,"Septembre",Transactions!$D:$D,B45)),0)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IFERROR(IF(B46="",0,SUMIFS(Transactions!$F:$F,Transactions!$G:$G,"Septembre",Transactions!$D:$D,B46)),0)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IFERROR(IF(B47="",0,SUMIFS(Transactions!$F:$F,Transactions!$G:$G,"Septembre",Transactions!$D:$D,B47)),0)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IFERROR(IF(B48="",0,SUMIFS(Transactions!$F:$F,Transactions!$G:$G,"Septembre",Transactions!$D:$D,B48)),0)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IFERROR(IF(B49="",0,SUMIFS(Transactions!$F:$F,Transactions!$G:$G,"Septembre",Transactions!$D:$D,B49)),0)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IFERROR(IF(B50="",0,SUMIFS(Transactions!$F:$F,Transactions!$G:$G,"Septembre",Transactions!$D:$D,B50)),0)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IFERROR(IF(B51="",0,SUMIFS(Transactions!$F:$F,Transactions!$G:$G,"Septembre",Transactions!$D:$D,B51)),0)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IFERROR(IF(B52="",0,SUMIFS(Transactions!$F:$F,Transactions!$G:$G,"Septembre",Transactions!$D:$D,B52)),0)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IFERROR(IF(B53="",0,SUMIFS(Transactions!$F:$F,Transactions!$G:$G,"Septembre",Transactions!$D:$D,B53)),0)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IFERROR(IF(B57="",0,SUMIFS(Transactions!$F:$F,Transactions!$G:$G,"Septembre",Transactions!$D:$D,B57)),0)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IFERROR(IF(B58="",0,SUMIFS(Transactions!$F:$F,Transactions!$G:$G,"Septembre",Transactions!$D:$D,B58)),0)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IFERROR(IF(B59="",0,SUMIFS(Transactions!$F:$F,Transactions!$G:$G,"Septembre",Transactions!$D:$D,B59)),0)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IFERROR(IF(B60="",0,SUMIFS(Transactions!$F:$F,Transactions!$G:$G,"Septembre",Transactions!$D:$D,B60)),0)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IFERROR(IF(B61="",0,SUMIFS(Transactions!$F:$F,Transactions!$G:$G,"Septembre",Transactions!$D:$D,B61)),0)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IFERROR(IF(B62="",0,SUMIFS(Transactions!$F:$F,Transactions!$G:$G,"Septembre",Transactions!$D:$D,B62)),0)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IFERROR(IF(B63="",0,SUMIFS(Transactions!$F:$F,Transactions!$G:$G,"Septembre",Transactions!$D:$D,B63)),0)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107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IFERROR(IF(B8="",0,SUMIFS(Transactions!$F:$F,Transactions!$G:$G,"Octobre",Transactions!$D:$D,B8)),0)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IFERROR(IF(B9="",0,SUMIFS(Transactions!$F:$F,Transactions!$G:$G,"Octobre",Transactions!$D:$D,B9)),0)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IFERROR(IF(B10="",0,SUMIFS(Transactions!$F:$F,Transactions!$G:$G,"Octobre",Transactions!$D:$D,B10)),0)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IFERROR(IF(B11="",0,SUMIFS(Transactions!$F:$F,Transactions!$G:$G,"Octobre",Transactions!$D:$D,B11)),0)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IFERROR(IF(B12="",0,SUMIFS(Transactions!$F:$F,Transactions!$G:$G,"Octobre",Transactions!$D:$D,B12)),0)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IFERROR(IF(B13="",0,SUMIFS(Transactions!$F:$F,Transactions!$G:$G,"Octobre",Transactions!$D:$D,B13)),0)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IFERROR(IF(B14="",0,SUMIFS(Transactions!$F:$F,Transactions!$G:$G,"Octobre",Transactions!$D:$D,B14)),0)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IFERROR(IF(B18="",0,SUMIFS(Transactions!$F:$F,Transactions!$G:$G,"Octobre",Transactions!$D:$D,B18)),0)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IFERROR(IF(B19="",0,SUMIFS(Transactions!$F:$F,Transactions!$G:$G,"Octobre",Transactions!$D:$D,B19)),0)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IFERROR(IF(B20="",0,SUMIFS(Transactions!$F:$F,Transactions!$G:$G,"Octobre",Transactions!$D:$D,B20)),0)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IFERROR(IF(B21="",0,SUMIFS(Transactions!$F:$F,Transactions!$G:$G,"Octobre",Transactions!$D:$D,B21)),0)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IFERROR(IF(B22="",0,SUMIFS(Transactions!$F:$F,Transactions!$G:$G,"Octobre",Transactions!$D:$D,B22)),0)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IFERROR(IF(B23="",0,SUMIFS(Transactions!$F:$F,Transactions!$G:$G,"Octobre",Transactions!$D:$D,B23)),0)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IFERROR(IF(B24="",0,SUMIFS(Transactions!$F:$F,Transactions!$G:$G,"Octobre",Transactions!$D:$D,B24)),0)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IFERROR(IF(B25="",0,SUMIFS(Transactions!$F:$F,Transactions!$G:$G,"Octobre",Transactions!$D:$D,B25)),0)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IFERROR(IF(B26="",0,SUMIFS(Transactions!$F:$F,Transactions!$G:$G,"Octobre",Transactions!$D:$D,B26)),0)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IFERROR(IF(B27="",0,SUMIFS(Transactions!$F:$F,Transactions!$G:$G,"Octobre",Transactions!$D:$D,B27)),0)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IFERROR(IF(B28="",0,SUMIFS(Transactions!$F:$F,Transactions!$G:$G,"Octobre",Transactions!$D:$D,B28)),0)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IFERROR(IF(B29="",0,SUMIFS(Transactions!$F:$F,Transactions!$G:$G,"Octobre",Transactions!$D:$D,B29)),0)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IFERROR(IF(B30="",0,SUMIFS(Transactions!$F:$F,Transactions!$G:$G,"Octobre",Transactions!$D:$D,B30)),0)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IFERROR(IF(B31="",0,SUMIFS(Transactions!$F:$F,Transactions!$G:$G,"Octobre",Transactions!$D:$D,B31)),0)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IFERROR(IF(B32="",0,SUMIFS(Transactions!$F:$F,Transactions!$G:$G,"Octobre",Transactions!$D:$D,B32)),0)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IFERROR(IF(B33="",0,SUMIFS(Transactions!$F:$F,Transactions!$G:$G,"Octobre",Transactions!$D:$D,B33)),0)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IFERROR(IF(B34="",0,SUMIFS(Transactions!$F:$F,Transactions!$G:$G,"Octobre",Transactions!$D:$D,B34)),0)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IFERROR(IF(B35="",0,SUMIFS(Transactions!$F:$F,Transactions!$G:$G,"Octobre",Transactions!$D:$D,B35)),0)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IFERROR(IF(B39="",0,SUMIFS(Transactions!$F:$F,Transactions!$G:$G,"Octobre",Transactions!$D:$D,B39)),0)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IFERROR(IF(B40="",0,SUMIFS(Transactions!$F:$F,Transactions!$G:$G,"Octobre",Transactions!$D:$D,B40)),0)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IFERROR(IF(B41="",0,SUMIFS(Transactions!$F:$F,Transactions!$G:$G,"Octobre",Transactions!$D:$D,B41)),0)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IFERROR(IF(B42="",0,SUMIFS(Transactions!$F:$F,Transactions!$G:$G,"Octobre",Transactions!$D:$D,B42)),0)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IFERROR(IF(B43="",0,SUMIFS(Transactions!$F:$F,Transactions!$G:$G,"Octobre",Transactions!$D:$D,B43)),0)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IFERROR(IF(B44="",0,SUMIFS(Transactions!$F:$F,Transactions!$G:$G,"Octobre",Transactions!$D:$D,B44)),0)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IFERROR(IF(B45="",0,SUMIFS(Transactions!$F:$F,Transactions!$G:$G,"Octobre",Transactions!$D:$D,B45)),0)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IFERROR(IF(B46="",0,SUMIFS(Transactions!$F:$F,Transactions!$G:$G,"Octobre",Transactions!$D:$D,B46)),0)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IFERROR(IF(B47="",0,SUMIFS(Transactions!$F:$F,Transactions!$G:$G,"Octobre",Transactions!$D:$D,B47)),0)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IFERROR(IF(B48="",0,SUMIFS(Transactions!$F:$F,Transactions!$G:$G,"Octobre",Transactions!$D:$D,B48)),0)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IFERROR(IF(B49="",0,SUMIFS(Transactions!$F:$F,Transactions!$G:$G,"Octobre",Transactions!$D:$D,B49)),0)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IFERROR(IF(B50="",0,SUMIFS(Transactions!$F:$F,Transactions!$G:$G,"Octobre",Transactions!$D:$D,B50)),0)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IFERROR(IF(B51="",0,SUMIFS(Transactions!$F:$F,Transactions!$G:$G,"Octobre",Transactions!$D:$D,B51)),0)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IFERROR(IF(B52="",0,SUMIFS(Transactions!$F:$F,Transactions!$G:$G,"Octobre",Transactions!$D:$D,B52)),0)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IFERROR(IF(B53="",0,SUMIFS(Transactions!$F:$F,Transactions!$G:$G,"Octobre",Transactions!$D:$D,B53)),0)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IFERROR(IF(B57="",0,SUMIFS(Transactions!$F:$F,Transactions!$G:$G,"Octobre",Transactions!$D:$D,B57)),0)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IFERROR(IF(B58="",0,SUMIFS(Transactions!$F:$F,Transactions!$G:$G,"Octobre",Transactions!$D:$D,B58)),0)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IFERROR(IF(B59="",0,SUMIFS(Transactions!$F:$F,Transactions!$G:$G,"Octobre",Transactions!$D:$D,B59)),0)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IFERROR(IF(B60="",0,SUMIFS(Transactions!$F:$F,Transactions!$G:$G,"Octobre",Transactions!$D:$D,B60)),0)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IFERROR(IF(B61="",0,SUMIFS(Transactions!$F:$F,Transactions!$G:$G,"Octobre",Transactions!$D:$D,B61)),0)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IFERROR(IF(B62="",0,SUMIFS(Transactions!$F:$F,Transactions!$G:$G,"Octobre",Transactions!$D:$D,B62)),0)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IFERROR(IF(B63="",0,SUMIFS(Transactions!$F:$F,Transactions!$G:$G,"Octobre",Transactions!$D:$D,B63)),0)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108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IFERROR(IF(B8="",0,SUMIFS(Transactions!$F:$F,Transactions!$G:$G,"Novembre",Transactions!$D:$D,B8)),0)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IFERROR(IF(B9="",0,SUMIFS(Transactions!$F:$F,Transactions!$G:$G,"Novembre",Transactions!$D:$D,B9)),0)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IFERROR(IF(B10="",0,SUMIFS(Transactions!$F:$F,Transactions!$G:$G,"Novembre",Transactions!$D:$D,B10)),0)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IFERROR(IF(B11="",0,SUMIFS(Transactions!$F:$F,Transactions!$G:$G,"Novembre",Transactions!$D:$D,B11)),0)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IFERROR(IF(B12="",0,SUMIFS(Transactions!$F:$F,Transactions!$G:$G,"Novembre",Transactions!$D:$D,B12)),0)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IFERROR(IF(B13="",0,SUMIFS(Transactions!$F:$F,Transactions!$G:$G,"Novembre",Transactions!$D:$D,B13)),0)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IFERROR(IF(B14="",0,SUMIFS(Transactions!$F:$F,Transactions!$G:$G,"Novembre",Transactions!$D:$D,B14)),0)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IFERROR(IF(B18="",0,SUMIFS(Transactions!$F:$F,Transactions!$G:$G,"Novembre",Transactions!$D:$D,B18)),0)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IFERROR(IF(B19="",0,SUMIFS(Transactions!$F:$F,Transactions!$G:$G,"Novembre",Transactions!$D:$D,B19)),0)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IFERROR(IF(B20="",0,SUMIFS(Transactions!$F:$F,Transactions!$G:$G,"Novembre",Transactions!$D:$D,B20)),0)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IFERROR(IF(B21="",0,SUMIFS(Transactions!$F:$F,Transactions!$G:$G,"Novembre",Transactions!$D:$D,B21)),0)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IFERROR(IF(B22="",0,SUMIFS(Transactions!$F:$F,Transactions!$G:$G,"Novembre",Transactions!$D:$D,B22)),0)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IFERROR(IF(B23="",0,SUMIFS(Transactions!$F:$F,Transactions!$G:$G,"Novembre",Transactions!$D:$D,B23)),0)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IFERROR(IF(B24="",0,SUMIFS(Transactions!$F:$F,Transactions!$G:$G,"Novembre",Transactions!$D:$D,B24)),0)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IFERROR(IF(B25="",0,SUMIFS(Transactions!$F:$F,Transactions!$G:$G,"Novembre",Transactions!$D:$D,B25)),0)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IFERROR(IF(B26="",0,SUMIFS(Transactions!$F:$F,Transactions!$G:$G,"Novembre",Transactions!$D:$D,B26)),0)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IFERROR(IF(B27="",0,SUMIFS(Transactions!$F:$F,Transactions!$G:$G,"Novembre",Transactions!$D:$D,B27)),0)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IFERROR(IF(B28="",0,SUMIFS(Transactions!$F:$F,Transactions!$G:$G,"Novembre",Transactions!$D:$D,B28)),0)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IFERROR(IF(B29="",0,SUMIFS(Transactions!$F:$F,Transactions!$G:$G,"Novembre",Transactions!$D:$D,B29)),0)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IFERROR(IF(B30="",0,SUMIFS(Transactions!$F:$F,Transactions!$G:$G,"Novembre",Transactions!$D:$D,B30)),0)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IFERROR(IF(B31="",0,SUMIFS(Transactions!$F:$F,Transactions!$G:$G,"Novembre",Transactions!$D:$D,B31)),0)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IFERROR(IF(B32="",0,SUMIFS(Transactions!$F:$F,Transactions!$G:$G,"Novembre",Transactions!$D:$D,B32)),0)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IFERROR(IF(B33="",0,SUMIFS(Transactions!$F:$F,Transactions!$G:$G,"Novembre",Transactions!$D:$D,B33)),0)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IFERROR(IF(B34="",0,SUMIFS(Transactions!$F:$F,Transactions!$G:$G,"Novembre",Transactions!$D:$D,B34)),0)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IFERROR(IF(B35="",0,SUMIFS(Transactions!$F:$F,Transactions!$G:$G,"Novembre",Transactions!$D:$D,B35)),0)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IFERROR(IF(B39="",0,SUMIFS(Transactions!$F:$F,Transactions!$G:$G,"Novembre",Transactions!$D:$D,B39)),0)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IFERROR(IF(B40="",0,SUMIFS(Transactions!$F:$F,Transactions!$G:$G,"Novembre",Transactions!$D:$D,B40)),0)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IFERROR(IF(B41="",0,SUMIFS(Transactions!$F:$F,Transactions!$G:$G,"Novembre",Transactions!$D:$D,B41)),0)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IFERROR(IF(B42="",0,SUMIFS(Transactions!$F:$F,Transactions!$G:$G,"Novembre",Transactions!$D:$D,B42)),0)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IFERROR(IF(B43="",0,SUMIFS(Transactions!$F:$F,Transactions!$G:$G,"Novembre",Transactions!$D:$D,B43)),0)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IFERROR(IF(B44="",0,SUMIFS(Transactions!$F:$F,Transactions!$G:$G,"Novembre",Transactions!$D:$D,B44)),0)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IFERROR(IF(B45="",0,SUMIFS(Transactions!$F:$F,Transactions!$G:$G,"Novembre",Transactions!$D:$D,B45)),0)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IFERROR(IF(B46="",0,SUMIFS(Transactions!$F:$F,Transactions!$G:$G,"Novembre",Transactions!$D:$D,B46)),0)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IFERROR(IF(B47="",0,SUMIFS(Transactions!$F:$F,Transactions!$G:$G,"Novembre",Transactions!$D:$D,B47)),0)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IFERROR(IF(B48="",0,SUMIFS(Transactions!$F:$F,Transactions!$G:$G,"Novembre",Transactions!$D:$D,B48)),0)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IFERROR(IF(B49="",0,SUMIFS(Transactions!$F:$F,Transactions!$G:$G,"Novembre",Transactions!$D:$D,B49)),0)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IFERROR(IF(B50="",0,SUMIFS(Transactions!$F:$F,Transactions!$G:$G,"Novembre",Transactions!$D:$D,B50)),0)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IFERROR(IF(B51="",0,SUMIFS(Transactions!$F:$F,Transactions!$G:$G,"Novembre",Transactions!$D:$D,B51)),0)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IFERROR(IF(B52="",0,SUMIFS(Transactions!$F:$F,Transactions!$G:$G,"Novembre",Transactions!$D:$D,B52)),0)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IFERROR(IF(B53="",0,SUMIFS(Transactions!$F:$F,Transactions!$G:$G,"Novembre",Transactions!$D:$D,B53)),0)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IFERROR(IF(B57="",0,SUMIFS(Transactions!$F:$F,Transactions!$G:$G,"Novembre",Transactions!$D:$D,B57)),0)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IFERROR(IF(B58="",0,SUMIFS(Transactions!$F:$F,Transactions!$G:$G,"Novembre",Transactions!$D:$D,B58)),0)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IFERROR(IF(B59="",0,SUMIFS(Transactions!$F:$F,Transactions!$G:$G,"Novembre",Transactions!$D:$D,B59)),0)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IFERROR(IF(B60="",0,SUMIFS(Transactions!$F:$F,Transactions!$G:$G,"Novembre",Transactions!$D:$D,B60)),0)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IFERROR(IF(B61="",0,SUMIFS(Transactions!$F:$F,Transactions!$G:$G,"Novembre",Transactions!$D:$D,B61)),0)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IFERROR(IF(B62="",0,SUMIFS(Transactions!$F:$F,Transactions!$G:$G,"Novembre",Transactions!$D:$D,B62)),0)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IFERROR(IF(B63="",0,SUMIFS(Transactions!$F:$F,Transactions!$G:$G,"Novembre",Transactions!$D:$D,B63)),0)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8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38" customWidth="1"/>
    <col min="3" max="5" width="14" customWidth="1"/>
    <col min="6" max="6" width="3" customWidth="1"/>
  </cols>
  <sheetData>
    <row r="1" spans="1:6" x14ac:dyDescent="0.3">
      <c r="A1" s="15"/>
      <c r="B1" s="15"/>
      <c r="C1" s="15"/>
      <c r="D1" s="15"/>
      <c r="E1" s="15"/>
      <c r="F1" s="15"/>
    </row>
    <row r="2" spans="1:6" ht="33.75" customHeight="1" x14ac:dyDescent="0.3">
      <c r="A2" s="15"/>
      <c r="B2" s="8" t="s">
        <v>109</v>
      </c>
      <c r="C2" s="8"/>
      <c r="D2" s="8"/>
      <c r="E2" s="8"/>
      <c r="F2" s="15"/>
    </row>
    <row r="3" spans="1:6" ht="19.5" customHeight="1" x14ac:dyDescent="0.3">
      <c r="A3" s="15"/>
      <c r="B3" s="7" t="s">
        <v>89</v>
      </c>
      <c r="C3" s="7"/>
      <c r="D3" s="7"/>
      <c r="E3" s="7"/>
      <c r="F3" s="15"/>
    </row>
    <row r="4" spans="1:6" ht="3.75" customHeight="1" x14ac:dyDescent="0.3">
      <c r="A4" s="15"/>
      <c r="B4" s="12"/>
      <c r="C4" s="12"/>
      <c r="D4" s="12"/>
      <c r="E4" s="12"/>
      <c r="F4" s="15"/>
    </row>
    <row r="5" spans="1:6" x14ac:dyDescent="0.3">
      <c r="A5" s="15"/>
      <c r="B5" s="15"/>
      <c r="C5" s="15"/>
      <c r="D5" s="15"/>
      <c r="E5" s="15"/>
      <c r="F5" s="15"/>
    </row>
    <row r="6" spans="1:6" ht="21.75" customHeight="1" x14ac:dyDescent="0.3">
      <c r="A6" s="15"/>
      <c r="B6" s="16" t="s">
        <v>25</v>
      </c>
      <c r="C6" s="25" t="s">
        <v>90</v>
      </c>
      <c r="D6" s="25" t="s">
        <v>91</v>
      </c>
      <c r="E6" s="25" t="s">
        <v>92</v>
      </c>
      <c r="F6" s="15"/>
    </row>
    <row r="7" spans="1:6" ht="24" customHeight="1" x14ac:dyDescent="0.3">
      <c r="A7" s="15"/>
      <c r="B7" s="1" t="s">
        <v>38</v>
      </c>
      <c r="C7" s="1"/>
      <c r="D7" s="1"/>
      <c r="E7" s="1"/>
      <c r="F7" s="15"/>
    </row>
    <row r="8" spans="1:6" x14ac:dyDescent="0.3">
      <c r="A8" s="15"/>
      <c r="B8" s="27" t="s">
        <v>56</v>
      </c>
      <c r="C8" s="29"/>
      <c r="D8" s="29">
        <f>IFERROR(IF(B8="",0,SUMIFS(Transactions!$F:$F,Transactions!$G:$G,"Décembre",Transactions!$D:$D,B8)),0)</f>
        <v>0</v>
      </c>
      <c r="E8" s="36">
        <f t="shared" ref="E8:E14" si="0">IFERROR(C8-D8,0)</f>
        <v>0</v>
      </c>
      <c r="F8" s="15"/>
    </row>
    <row r="9" spans="1:6" x14ac:dyDescent="0.3">
      <c r="A9" s="15"/>
      <c r="B9" s="32" t="s">
        <v>58</v>
      </c>
      <c r="C9" s="34"/>
      <c r="D9" s="34">
        <f>IFERROR(IF(B9="",0,SUMIFS(Transactions!$F:$F,Transactions!$G:$G,"Décembre",Transactions!$D:$D,B9)),0)</f>
        <v>0</v>
      </c>
      <c r="E9" s="37">
        <f t="shared" si="0"/>
        <v>0</v>
      </c>
      <c r="F9" s="15"/>
    </row>
    <row r="10" spans="1:6" x14ac:dyDescent="0.3">
      <c r="A10" s="15"/>
      <c r="B10" s="27" t="s">
        <v>60</v>
      </c>
      <c r="C10" s="29"/>
      <c r="D10" s="29">
        <f>IFERROR(IF(B10="",0,SUMIFS(Transactions!$F:$F,Transactions!$G:$G,"Décembre",Transactions!$D:$D,B10)),0)</f>
        <v>0</v>
      </c>
      <c r="E10" s="36">
        <f t="shared" si="0"/>
        <v>0</v>
      </c>
      <c r="F10" s="15"/>
    </row>
    <row r="11" spans="1:6" x14ac:dyDescent="0.3">
      <c r="A11" s="15"/>
      <c r="B11" s="32" t="s">
        <v>62</v>
      </c>
      <c r="C11" s="34"/>
      <c r="D11" s="34">
        <f>IFERROR(IF(B11="",0,SUMIFS(Transactions!$F:$F,Transactions!$G:$G,"Décembre",Transactions!$D:$D,B11)),0)</f>
        <v>0</v>
      </c>
      <c r="E11" s="37">
        <f t="shared" si="0"/>
        <v>0</v>
      </c>
      <c r="F11" s="15"/>
    </row>
    <row r="12" spans="1:6" x14ac:dyDescent="0.3">
      <c r="A12" s="15"/>
      <c r="B12" s="38"/>
      <c r="C12" s="29"/>
      <c r="D12" s="29">
        <f>IFERROR(IF(B12="",0,SUMIFS(Transactions!$F:$F,Transactions!$G:$G,"Décembre",Transactions!$D:$D,B12)),0)</f>
        <v>0</v>
      </c>
      <c r="E12" s="36">
        <f t="shared" si="0"/>
        <v>0</v>
      </c>
      <c r="F12" s="15"/>
    </row>
    <row r="13" spans="1:6" x14ac:dyDescent="0.3">
      <c r="A13" s="15"/>
      <c r="B13" s="39"/>
      <c r="C13" s="34"/>
      <c r="D13" s="34">
        <f>IFERROR(IF(B13="",0,SUMIFS(Transactions!$F:$F,Transactions!$G:$G,"Décembre",Transactions!$D:$D,B13)),0)</f>
        <v>0</v>
      </c>
      <c r="E13" s="37">
        <f t="shared" si="0"/>
        <v>0</v>
      </c>
      <c r="F13" s="15"/>
    </row>
    <row r="14" spans="1:6" x14ac:dyDescent="0.3">
      <c r="A14" s="15"/>
      <c r="B14" s="38"/>
      <c r="C14" s="29"/>
      <c r="D14" s="29">
        <f>IFERROR(IF(B14="",0,SUMIFS(Transactions!$F:$F,Transactions!$G:$G,"Décembre",Transactions!$D:$D,B14)),0)</f>
        <v>0</v>
      </c>
      <c r="E14" s="36">
        <f t="shared" si="0"/>
        <v>0</v>
      </c>
      <c r="F14" s="15"/>
    </row>
    <row r="15" spans="1:6" ht="21.75" customHeight="1" x14ac:dyDescent="0.3">
      <c r="A15" s="15"/>
      <c r="B15" s="40" t="s">
        <v>93</v>
      </c>
      <c r="C15" s="41">
        <f>SUM(C8:C14)</f>
        <v>0</v>
      </c>
      <c r="D15" s="41">
        <f>SUM(D8:D14)</f>
        <v>0</v>
      </c>
      <c r="E15" s="41">
        <f>SUM(E8:E14)</f>
        <v>0</v>
      </c>
      <c r="F15" s="15"/>
    </row>
    <row r="16" spans="1:6" x14ac:dyDescent="0.3">
      <c r="A16" s="15"/>
      <c r="B16" s="15"/>
      <c r="C16" s="15"/>
      <c r="D16" s="15"/>
      <c r="E16" s="15"/>
      <c r="F16" s="15"/>
    </row>
    <row r="17" spans="1:6" ht="24" customHeight="1" x14ac:dyDescent="0.3">
      <c r="A17" s="15"/>
      <c r="B17" s="1" t="s">
        <v>39</v>
      </c>
      <c r="C17" s="1"/>
      <c r="D17" s="1"/>
      <c r="E17" s="1"/>
      <c r="F17" s="15"/>
    </row>
    <row r="18" spans="1:6" x14ac:dyDescent="0.3">
      <c r="A18" s="15"/>
      <c r="B18" s="27" t="s">
        <v>63</v>
      </c>
      <c r="C18" s="29"/>
      <c r="D18" s="29">
        <f>IFERROR(IF(B18="",0,SUMIFS(Transactions!$F:$F,Transactions!$G:$G,"Décembre",Transactions!$D:$D,B18)),0)</f>
        <v>0</v>
      </c>
      <c r="E18" s="36">
        <f t="shared" ref="E18:E35" si="1">IFERROR(C18-D18,0)</f>
        <v>0</v>
      </c>
      <c r="F18" s="15"/>
    </row>
    <row r="19" spans="1:6" x14ac:dyDescent="0.3">
      <c r="A19" s="15"/>
      <c r="B19" s="32" t="s">
        <v>64</v>
      </c>
      <c r="C19" s="34"/>
      <c r="D19" s="34">
        <f>IFERROR(IF(B19="",0,SUMIFS(Transactions!$F:$F,Transactions!$G:$G,"Décembre",Transactions!$D:$D,B19)),0)</f>
        <v>0</v>
      </c>
      <c r="E19" s="37">
        <f t="shared" si="1"/>
        <v>0</v>
      </c>
      <c r="F19" s="15"/>
    </row>
    <row r="20" spans="1:6" x14ac:dyDescent="0.3">
      <c r="A20" s="15"/>
      <c r="B20" s="27" t="s">
        <v>65</v>
      </c>
      <c r="C20" s="29"/>
      <c r="D20" s="29">
        <f>IFERROR(IF(B20="",0,SUMIFS(Transactions!$F:$F,Transactions!$G:$G,"Décembre",Transactions!$D:$D,B20)),0)</f>
        <v>0</v>
      </c>
      <c r="E20" s="36">
        <f t="shared" si="1"/>
        <v>0</v>
      </c>
      <c r="F20" s="15"/>
    </row>
    <row r="21" spans="1:6" x14ac:dyDescent="0.3">
      <c r="A21" s="15"/>
      <c r="B21" s="32" t="s">
        <v>66</v>
      </c>
      <c r="C21" s="34"/>
      <c r="D21" s="34">
        <f>IFERROR(IF(B21="",0,SUMIFS(Transactions!$F:$F,Transactions!$G:$G,"Décembre",Transactions!$D:$D,B21)),0)</f>
        <v>0</v>
      </c>
      <c r="E21" s="37">
        <f t="shared" si="1"/>
        <v>0</v>
      </c>
      <c r="F21" s="15"/>
    </row>
    <row r="22" spans="1:6" x14ac:dyDescent="0.3">
      <c r="A22" s="15"/>
      <c r="B22" s="27" t="s">
        <v>67</v>
      </c>
      <c r="C22" s="29"/>
      <c r="D22" s="29">
        <f>IFERROR(IF(B22="",0,SUMIFS(Transactions!$F:$F,Transactions!$G:$G,"Décembre",Transactions!$D:$D,B22)),0)</f>
        <v>0</v>
      </c>
      <c r="E22" s="36">
        <f t="shared" si="1"/>
        <v>0</v>
      </c>
      <c r="F22" s="15"/>
    </row>
    <row r="23" spans="1:6" x14ac:dyDescent="0.3">
      <c r="A23" s="15"/>
      <c r="B23" s="32" t="s">
        <v>68</v>
      </c>
      <c r="C23" s="34"/>
      <c r="D23" s="34">
        <f>IFERROR(IF(B23="",0,SUMIFS(Transactions!$F:$F,Transactions!$G:$G,"Décembre",Transactions!$D:$D,B23)),0)</f>
        <v>0</v>
      </c>
      <c r="E23" s="37">
        <f t="shared" si="1"/>
        <v>0</v>
      </c>
      <c r="F23" s="15"/>
    </row>
    <row r="24" spans="1:6" x14ac:dyDescent="0.3">
      <c r="A24" s="15"/>
      <c r="B24" s="27" t="s">
        <v>69</v>
      </c>
      <c r="C24" s="29"/>
      <c r="D24" s="29">
        <f>IFERROR(IF(B24="",0,SUMIFS(Transactions!$F:$F,Transactions!$G:$G,"Décembre",Transactions!$D:$D,B24)),0)</f>
        <v>0</v>
      </c>
      <c r="E24" s="36">
        <f t="shared" si="1"/>
        <v>0</v>
      </c>
      <c r="F24" s="15"/>
    </row>
    <row r="25" spans="1:6" x14ac:dyDescent="0.3">
      <c r="A25" s="15"/>
      <c r="B25" s="32" t="s">
        <v>70</v>
      </c>
      <c r="C25" s="34"/>
      <c r="D25" s="34">
        <f>IFERROR(IF(B25="",0,SUMIFS(Transactions!$F:$F,Transactions!$G:$G,"Décembre",Transactions!$D:$D,B25)),0)</f>
        <v>0</v>
      </c>
      <c r="E25" s="37">
        <f t="shared" si="1"/>
        <v>0</v>
      </c>
      <c r="F25" s="15"/>
    </row>
    <row r="26" spans="1:6" x14ac:dyDescent="0.3">
      <c r="A26" s="15"/>
      <c r="B26" s="27" t="s">
        <v>71</v>
      </c>
      <c r="C26" s="29"/>
      <c r="D26" s="29">
        <f>IFERROR(IF(B26="",0,SUMIFS(Transactions!$F:$F,Transactions!$G:$G,"Décembre",Transactions!$D:$D,B26)),0)</f>
        <v>0</v>
      </c>
      <c r="E26" s="36">
        <f t="shared" si="1"/>
        <v>0</v>
      </c>
      <c r="F26" s="15"/>
    </row>
    <row r="27" spans="1:6" x14ac:dyDescent="0.3">
      <c r="A27" s="15"/>
      <c r="B27" s="32" t="s">
        <v>72</v>
      </c>
      <c r="C27" s="34"/>
      <c r="D27" s="34">
        <f>IFERROR(IF(B27="",0,SUMIFS(Transactions!$F:$F,Transactions!$G:$G,"Décembre",Transactions!$D:$D,B27)),0)</f>
        <v>0</v>
      </c>
      <c r="E27" s="37">
        <f t="shared" si="1"/>
        <v>0</v>
      </c>
      <c r="F27" s="15"/>
    </row>
    <row r="28" spans="1:6" x14ac:dyDescent="0.3">
      <c r="A28" s="15"/>
      <c r="B28" s="27" t="s">
        <v>73</v>
      </c>
      <c r="C28" s="29"/>
      <c r="D28" s="29">
        <f>IFERROR(IF(B28="",0,SUMIFS(Transactions!$F:$F,Transactions!$G:$G,"Décembre",Transactions!$D:$D,B28)),0)</f>
        <v>0</v>
      </c>
      <c r="E28" s="36">
        <f t="shared" si="1"/>
        <v>0</v>
      </c>
      <c r="F28" s="15"/>
    </row>
    <row r="29" spans="1:6" x14ac:dyDescent="0.3">
      <c r="A29" s="15"/>
      <c r="B29" s="32" t="s">
        <v>74</v>
      </c>
      <c r="C29" s="34"/>
      <c r="D29" s="34">
        <f>IFERROR(IF(B29="",0,SUMIFS(Transactions!$F:$F,Transactions!$G:$G,"Décembre",Transactions!$D:$D,B29)),0)</f>
        <v>0</v>
      </c>
      <c r="E29" s="37">
        <f t="shared" si="1"/>
        <v>0</v>
      </c>
      <c r="F29" s="15"/>
    </row>
    <row r="30" spans="1:6" x14ac:dyDescent="0.3">
      <c r="A30" s="15"/>
      <c r="B30" s="38"/>
      <c r="C30" s="29"/>
      <c r="D30" s="29">
        <f>IFERROR(IF(B30="",0,SUMIFS(Transactions!$F:$F,Transactions!$G:$G,"Décembre",Transactions!$D:$D,B30)),0)</f>
        <v>0</v>
      </c>
      <c r="E30" s="36">
        <f t="shared" si="1"/>
        <v>0</v>
      </c>
      <c r="F30" s="15"/>
    </row>
    <row r="31" spans="1:6" x14ac:dyDescent="0.3">
      <c r="A31" s="15"/>
      <c r="B31" s="39"/>
      <c r="C31" s="34"/>
      <c r="D31" s="34">
        <f>IFERROR(IF(B31="",0,SUMIFS(Transactions!$F:$F,Transactions!$G:$G,"Décembre",Transactions!$D:$D,B31)),0)</f>
        <v>0</v>
      </c>
      <c r="E31" s="37">
        <f t="shared" si="1"/>
        <v>0</v>
      </c>
      <c r="F31" s="15"/>
    </row>
    <row r="32" spans="1:6" x14ac:dyDescent="0.3">
      <c r="A32" s="15"/>
      <c r="B32" s="38"/>
      <c r="C32" s="29"/>
      <c r="D32" s="29">
        <f>IFERROR(IF(B32="",0,SUMIFS(Transactions!$F:$F,Transactions!$G:$G,"Décembre",Transactions!$D:$D,B32)),0)</f>
        <v>0</v>
      </c>
      <c r="E32" s="36">
        <f t="shared" si="1"/>
        <v>0</v>
      </c>
      <c r="F32" s="15"/>
    </row>
    <row r="33" spans="1:6" x14ac:dyDescent="0.3">
      <c r="A33" s="15"/>
      <c r="B33" s="39"/>
      <c r="C33" s="34"/>
      <c r="D33" s="34">
        <f>IFERROR(IF(B33="",0,SUMIFS(Transactions!$F:$F,Transactions!$G:$G,"Décembre",Transactions!$D:$D,B33)),0)</f>
        <v>0</v>
      </c>
      <c r="E33" s="37">
        <f t="shared" si="1"/>
        <v>0</v>
      </c>
      <c r="F33" s="15"/>
    </row>
    <row r="34" spans="1:6" x14ac:dyDescent="0.3">
      <c r="A34" s="15"/>
      <c r="B34" s="38"/>
      <c r="C34" s="29"/>
      <c r="D34" s="29">
        <f>IFERROR(IF(B34="",0,SUMIFS(Transactions!$F:$F,Transactions!$G:$G,"Décembre",Transactions!$D:$D,B34)),0)</f>
        <v>0</v>
      </c>
      <c r="E34" s="36">
        <f t="shared" si="1"/>
        <v>0</v>
      </c>
      <c r="F34" s="15"/>
    </row>
    <row r="35" spans="1:6" x14ac:dyDescent="0.3">
      <c r="A35" s="15"/>
      <c r="B35" s="39"/>
      <c r="C35" s="34"/>
      <c r="D35" s="34">
        <f>IFERROR(IF(B35="",0,SUMIFS(Transactions!$F:$F,Transactions!$G:$G,"Décembre",Transactions!$D:$D,B35)),0)</f>
        <v>0</v>
      </c>
      <c r="E35" s="37">
        <f t="shared" si="1"/>
        <v>0</v>
      </c>
      <c r="F35" s="15"/>
    </row>
    <row r="36" spans="1:6" ht="21.75" customHeight="1" x14ac:dyDescent="0.3">
      <c r="A36" s="15"/>
      <c r="B36" s="40" t="s">
        <v>94</v>
      </c>
      <c r="C36" s="41">
        <f>SUM(C18:C35)</f>
        <v>0</v>
      </c>
      <c r="D36" s="41">
        <f>SUM(D18:D35)</f>
        <v>0</v>
      </c>
      <c r="E36" s="41">
        <f>SUM(E18:E35)</f>
        <v>0</v>
      </c>
      <c r="F36" s="15"/>
    </row>
    <row r="37" spans="1:6" x14ac:dyDescent="0.3">
      <c r="A37" s="15"/>
      <c r="B37" s="15"/>
      <c r="C37" s="15"/>
      <c r="D37" s="15"/>
      <c r="E37" s="15"/>
      <c r="F37" s="15"/>
    </row>
    <row r="38" spans="1:6" ht="24" customHeight="1" x14ac:dyDescent="0.3">
      <c r="A38" s="15"/>
      <c r="B38" s="1" t="s">
        <v>40</v>
      </c>
      <c r="C38" s="1"/>
      <c r="D38" s="1"/>
      <c r="E38" s="1"/>
      <c r="F38" s="15"/>
    </row>
    <row r="39" spans="1:6" x14ac:dyDescent="0.3">
      <c r="A39" s="15"/>
      <c r="B39" s="27" t="s">
        <v>75</v>
      </c>
      <c r="C39" s="29"/>
      <c r="D39" s="29">
        <f>IFERROR(IF(B39="",0,SUMIFS(Transactions!$F:$F,Transactions!$G:$G,"Décembre",Transactions!$D:$D,B39)),0)</f>
        <v>0</v>
      </c>
      <c r="E39" s="36">
        <f t="shared" ref="E39:E53" si="2">IFERROR(C39-D39,0)</f>
        <v>0</v>
      </c>
      <c r="F39" s="15"/>
    </row>
    <row r="40" spans="1:6" x14ac:dyDescent="0.3">
      <c r="A40" s="15"/>
      <c r="B40" s="32" t="s">
        <v>76</v>
      </c>
      <c r="C40" s="34"/>
      <c r="D40" s="34">
        <f>IFERROR(IF(B40="",0,SUMIFS(Transactions!$F:$F,Transactions!$G:$G,"Décembre",Transactions!$D:$D,B40)),0)</f>
        <v>0</v>
      </c>
      <c r="E40" s="37">
        <f t="shared" si="2"/>
        <v>0</v>
      </c>
      <c r="F40" s="15"/>
    </row>
    <row r="41" spans="1:6" x14ac:dyDescent="0.3">
      <c r="A41" s="15"/>
      <c r="B41" s="27" t="s">
        <v>77</v>
      </c>
      <c r="C41" s="29"/>
      <c r="D41" s="29">
        <f>IFERROR(IF(B41="",0,SUMIFS(Transactions!$F:$F,Transactions!$G:$G,"Décembre",Transactions!$D:$D,B41)),0)</f>
        <v>0</v>
      </c>
      <c r="E41" s="36">
        <f t="shared" si="2"/>
        <v>0</v>
      </c>
      <c r="F41" s="15"/>
    </row>
    <row r="42" spans="1:6" x14ac:dyDescent="0.3">
      <c r="A42" s="15"/>
      <c r="B42" s="32" t="s">
        <v>78</v>
      </c>
      <c r="C42" s="34"/>
      <c r="D42" s="34">
        <f>IFERROR(IF(B42="",0,SUMIFS(Transactions!$F:$F,Transactions!$G:$G,"Décembre",Transactions!$D:$D,B42)),0)</f>
        <v>0</v>
      </c>
      <c r="E42" s="37">
        <f t="shared" si="2"/>
        <v>0</v>
      </c>
      <c r="F42" s="15"/>
    </row>
    <row r="43" spans="1:6" x14ac:dyDescent="0.3">
      <c r="A43" s="15"/>
      <c r="B43" s="27" t="s">
        <v>79</v>
      </c>
      <c r="C43" s="29"/>
      <c r="D43" s="29">
        <f>IFERROR(IF(B43="",0,SUMIFS(Transactions!$F:$F,Transactions!$G:$G,"Décembre",Transactions!$D:$D,B43)),0)</f>
        <v>0</v>
      </c>
      <c r="E43" s="36">
        <f t="shared" si="2"/>
        <v>0</v>
      </c>
      <c r="F43" s="15"/>
    </row>
    <row r="44" spans="1:6" x14ac:dyDescent="0.3">
      <c r="A44" s="15"/>
      <c r="B44" s="32" t="s">
        <v>80</v>
      </c>
      <c r="C44" s="34"/>
      <c r="D44" s="34">
        <f>IFERROR(IF(B44="",0,SUMIFS(Transactions!$F:$F,Transactions!$G:$G,"Décembre",Transactions!$D:$D,B44)),0)</f>
        <v>0</v>
      </c>
      <c r="E44" s="37">
        <f t="shared" si="2"/>
        <v>0</v>
      </c>
      <c r="F44" s="15"/>
    </row>
    <row r="45" spans="1:6" x14ac:dyDescent="0.3">
      <c r="A45" s="15"/>
      <c r="B45" s="27" t="s">
        <v>81</v>
      </c>
      <c r="C45" s="29"/>
      <c r="D45" s="29">
        <f>IFERROR(IF(B45="",0,SUMIFS(Transactions!$F:$F,Transactions!$G:$G,"Décembre",Transactions!$D:$D,B45)),0)</f>
        <v>0</v>
      </c>
      <c r="E45" s="36">
        <f t="shared" si="2"/>
        <v>0</v>
      </c>
      <c r="F45" s="15"/>
    </row>
    <row r="46" spans="1:6" x14ac:dyDescent="0.3">
      <c r="A46" s="15"/>
      <c r="B46" s="32" t="s">
        <v>82</v>
      </c>
      <c r="C46" s="34"/>
      <c r="D46" s="34">
        <f>IFERROR(IF(B46="",0,SUMIFS(Transactions!$F:$F,Transactions!$G:$G,"Décembre",Transactions!$D:$D,B46)),0)</f>
        <v>0</v>
      </c>
      <c r="E46" s="37">
        <f t="shared" si="2"/>
        <v>0</v>
      </c>
      <c r="F46" s="15"/>
    </row>
    <row r="47" spans="1:6" x14ac:dyDescent="0.3">
      <c r="A47" s="15"/>
      <c r="B47" s="27" t="s">
        <v>83</v>
      </c>
      <c r="C47" s="29"/>
      <c r="D47" s="29">
        <f>IFERROR(IF(B47="",0,SUMIFS(Transactions!$F:$F,Transactions!$G:$G,"Décembre",Transactions!$D:$D,B47)),0)</f>
        <v>0</v>
      </c>
      <c r="E47" s="36">
        <f t="shared" si="2"/>
        <v>0</v>
      </c>
      <c r="F47" s="15"/>
    </row>
    <row r="48" spans="1:6" x14ac:dyDescent="0.3">
      <c r="A48" s="15"/>
      <c r="B48" s="39"/>
      <c r="C48" s="34"/>
      <c r="D48" s="34">
        <f>IFERROR(IF(B48="",0,SUMIFS(Transactions!$F:$F,Transactions!$G:$G,"Décembre",Transactions!$D:$D,B48)),0)</f>
        <v>0</v>
      </c>
      <c r="E48" s="37">
        <f t="shared" si="2"/>
        <v>0</v>
      </c>
      <c r="F48" s="15"/>
    </row>
    <row r="49" spans="1:6" x14ac:dyDescent="0.3">
      <c r="A49" s="15"/>
      <c r="B49" s="38"/>
      <c r="C49" s="29"/>
      <c r="D49" s="29">
        <f>IFERROR(IF(B49="",0,SUMIFS(Transactions!$F:$F,Transactions!$G:$G,"Décembre",Transactions!$D:$D,B49)),0)</f>
        <v>0</v>
      </c>
      <c r="E49" s="36">
        <f t="shared" si="2"/>
        <v>0</v>
      </c>
      <c r="F49" s="15"/>
    </row>
    <row r="50" spans="1:6" x14ac:dyDescent="0.3">
      <c r="A50" s="15"/>
      <c r="B50" s="39"/>
      <c r="C50" s="34"/>
      <c r="D50" s="34">
        <f>IFERROR(IF(B50="",0,SUMIFS(Transactions!$F:$F,Transactions!$G:$G,"Décembre",Transactions!$D:$D,B50)),0)</f>
        <v>0</v>
      </c>
      <c r="E50" s="37">
        <f t="shared" si="2"/>
        <v>0</v>
      </c>
      <c r="F50" s="15"/>
    </row>
    <row r="51" spans="1:6" x14ac:dyDescent="0.3">
      <c r="A51" s="15"/>
      <c r="B51" s="38"/>
      <c r="C51" s="29"/>
      <c r="D51" s="29">
        <f>IFERROR(IF(B51="",0,SUMIFS(Transactions!$F:$F,Transactions!$G:$G,"Décembre",Transactions!$D:$D,B51)),0)</f>
        <v>0</v>
      </c>
      <c r="E51" s="36">
        <f t="shared" si="2"/>
        <v>0</v>
      </c>
      <c r="F51" s="15"/>
    </row>
    <row r="52" spans="1:6" x14ac:dyDescent="0.3">
      <c r="A52" s="15"/>
      <c r="B52" s="39"/>
      <c r="C52" s="34"/>
      <c r="D52" s="34">
        <f>IFERROR(IF(B52="",0,SUMIFS(Transactions!$F:$F,Transactions!$G:$G,"Décembre",Transactions!$D:$D,B52)),0)</f>
        <v>0</v>
      </c>
      <c r="E52" s="37">
        <f t="shared" si="2"/>
        <v>0</v>
      </c>
      <c r="F52" s="15"/>
    </row>
    <row r="53" spans="1:6" x14ac:dyDescent="0.3">
      <c r="A53" s="15"/>
      <c r="B53" s="38"/>
      <c r="C53" s="29"/>
      <c r="D53" s="29">
        <f>IFERROR(IF(B53="",0,SUMIFS(Transactions!$F:$F,Transactions!$G:$G,"Décembre",Transactions!$D:$D,B53)),0)</f>
        <v>0</v>
      </c>
      <c r="E53" s="36">
        <f t="shared" si="2"/>
        <v>0</v>
      </c>
      <c r="F53" s="15"/>
    </row>
    <row r="54" spans="1:6" ht="21.75" customHeight="1" x14ac:dyDescent="0.3">
      <c r="A54" s="15"/>
      <c r="B54" s="40" t="s">
        <v>95</v>
      </c>
      <c r="C54" s="41">
        <f>SUM(C39:C53)</f>
        <v>0</v>
      </c>
      <c r="D54" s="41">
        <f>SUM(D39:D53)</f>
        <v>0</v>
      </c>
      <c r="E54" s="41">
        <f>SUM(E39:E53)</f>
        <v>0</v>
      </c>
      <c r="F54" s="15"/>
    </row>
    <row r="55" spans="1:6" x14ac:dyDescent="0.3">
      <c r="A55" s="15"/>
      <c r="B55" s="15"/>
      <c r="C55" s="15"/>
      <c r="D55" s="15"/>
      <c r="E55" s="15"/>
      <c r="F55" s="15"/>
    </row>
    <row r="56" spans="1:6" ht="24" customHeight="1" x14ac:dyDescent="0.3">
      <c r="A56" s="15"/>
      <c r="B56" s="1" t="s">
        <v>41</v>
      </c>
      <c r="C56" s="1"/>
      <c r="D56" s="1"/>
      <c r="E56" s="1"/>
      <c r="F56" s="15"/>
    </row>
    <row r="57" spans="1:6" x14ac:dyDescent="0.3">
      <c r="A57" s="15"/>
      <c r="B57" s="27" t="s">
        <v>84</v>
      </c>
      <c r="C57" s="29"/>
      <c r="D57" s="29">
        <f>IFERROR(IF(B57="",0,SUMIFS(Transactions!$F:$F,Transactions!$G:$G,"Décembre",Transactions!$D:$D,B57)),0)</f>
        <v>0</v>
      </c>
      <c r="E57" s="36">
        <f t="shared" ref="E57:E63" si="3">IFERROR(C57-D57,0)</f>
        <v>0</v>
      </c>
      <c r="F57" s="15"/>
    </row>
    <row r="58" spans="1:6" x14ac:dyDescent="0.3">
      <c r="A58" s="15"/>
      <c r="B58" s="32" t="s">
        <v>85</v>
      </c>
      <c r="C58" s="34"/>
      <c r="D58" s="34">
        <f>IFERROR(IF(B58="",0,SUMIFS(Transactions!$F:$F,Transactions!$G:$G,"Décembre",Transactions!$D:$D,B58)),0)</f>
        <v>0</v>
      </c>
      <c r="E58" s="37">
        <f t="shared" si="3"/>
        <v>0</v>
      </c>
      <c r="F58" s="15"/>
    </row>
    <row r="59" spans="1:6" x14ac:dyDescent="0.3">
      <c r="A59" s="15"/>
      <c r="B59" s="27" t="s">
        <v>86</v>
      </c>
      <c r="C59" s="29"/>
      <c r="D59" s="29">
        <f>IFERROR(IF(B59="",0,SUMIFS(Transactions!$F:$F,Transactions!$G:$G,"Décembre",Transactions!$D:$D,B59)),0)</f>
        <v>0</v>
      </c>
      <c r="E59" s="36">
        <f t="shared" si="3"/>
        <v>0</v>
      </c>
      <c r="F59" s="15"/>
    </row>
    <row r="60" spans="1:6" x14ac:dyDescent="0.3">
      <c r="A60" s="15"/>
      <c r="B60" s="32" t="s">
        <v>87</v>
      </c>
      <c r="C60" s="34"/>
      <c r="D60" s="34">
        <f>IFERROR(IF(B60="",0,SUMIFS(Transactions!$F:$F,Transactions!$G:$G,"Décembre",Transactions!$D:$D,B60)),0)</f>
        <v>0</v>
      </c>
      <c r="E60" s="37">
        <f t="shared" si="3"/>
        <v>0</v>
      </c>
      <c r="F60" s="15"/>
    </row>
    <row r="61" spans="1:6" x14ac:dyDescent="0.3">
      <c r="A61" s="15"/>
      <c r="B61" s="38"/>
      <c r="C61" s="29"/>
      <c r="D61" s="29">
        <f>IFERROR(IF(B61="",0,SUMIFS(Transactions!$F:$F,Transactions!$G:$G,"Décembre",Transactions!$D:$D,B61)),0)</f>
        <v>0</v>
      </c>
      <c r="E61" s="36">
        <f t="shared" si="3"/>
        <v>0</v>
      </c>
      <c r="F61" s="15"/>
    </row>
    <row r="62" spans="1:6" x14ac:dyDescent="0.3">
      <c r="A62" s="15"/>
      <c r="B62" s="39"/>
      <c r="C62" s="34"/>
      <c r="D62" s="34">
        <f>IFERROR(IF(B62="",0,SUMIFS(Transactions!$F:$F,Transactions!$G:$G,"Décembre",Transactions!$D:$D,B62)),0)</f>
        <v>0</v>
      </c>
      <c r="E62" s="37">
        <f t="shared" si="3"/>
        <v>0</v>
      </c>
      <c r="F62" s="15"/>
    </row>
    <row r="63" spans="1:6" x14ac:dyDescent="0.3">
      <c r="A63" s="15"/>
      <c r="B63" s="38"/>
      <c r="C63" s="29"/>
      <c r="D63" s="29">
        <f>IFERROR(IF(B63="",0,SUMIFS(Transactions!$F:$F,Transactions!$G:$G,"Décembre",Transactions!$D:$D,B63)),0)</f>
        <v>0</v>
      </c>
      <c r="E63" s="36">
        <f t="shared" si="3"/>
        <v>0</v>
      </c>
      <c r="F63" s="15"/>
    </row>
    <row r="64" spans="1:6" ht="21.75" customHeight="1" x14ac:dyDescent="0.3">
      <c r="A64" s="15"/>
      <c r="B64" s="40" t="s">
        <v>96</v>
      </c>
      <c r="C64" s="41">
        <f>SUM(C57:C63)</f>
        <v>0</v>
      </c>
      <c r="D64" s="41">
        <f>SUM(D57:D63)</f>
        <v>0</v>
      </c>
      <c r="E64" s="41">
        <f>SUM(E57:E63)</f>
        <v>0</v>
      </c>
      <c r="F64" s="15"/>
    </row>
    <row r="65" spans="1:6" x14ac:dyDescent="0.3">
      <c r="A65" s="15"/>
      <c r="B65" s="15"/>
      <c r="C65" s="15"/>
      <c r="D65" s="15"/>
      <c r="E65" s="15"/>
      <c r="F65" s="15"/>
    </row>
    <row r="66" spans="1:6" x14ac:dyDescent="0.3">
      <c r="A66" s="15"/>
      <c r="B66" s="15"/>
      <c r="C66" s="15"/>
      <c r="D66" s="15"/>
      <c r="E66" s="15"/>
      <c r="F66" s="15"/>
    </row>
    <row r="67" spans="1:6" ht="25.5" customHeight="1" x14ac:dyDescent="0.3">
      <c r="A67" s="15"/>
      <c r="B67" s="59" t="s">
        <v>97</v>
      </c>
      <c r="C67" s="59"/>
      <c r="D67" s="59"/>
      <c r="E67" s="59"/>
      <c r="F67" s="15"/>
    </row>
    <row r="68" spans="1:6" x14ac:dyDescent="0.3">
      <c r="A68" s="15"/>
      <c r="B68" s="42" t="s">
        <v>93</v>
      </c>
      <c r="C68" s="43">
        <f>C15</f>
        <v>0</v>
      </c>
      <c r="D68" s="43">
        <f>D15</f>
        <v>0</v>
      </c>
      <c r="E68" s="44">
        <f>C68-D68</f>
        <v>0</v>
      </c>
      <c r="F68" s="15"/>
    </row>
    <row r="69" spans="1:6" x14ac:dyDescent="0.3">
      <c r="A69" s="15"/>
      <c r="B69" s="42" t="s">
        <v>94</v>
      </c>
      <c r="C69" s="43">
        <f>C36</f>
        <v>0</v>
      </c>
      <c r="D69" s="43">
        <f>D36</f>
        <v>0</v>
      </c>
      <c r="E69" s="44">
        <f>C69-D69</f>
        <v>0</v>
      </c>
      <c r="F69" s="15"/>
    </row>
    <row r="70" spans="1:6" x14ac:dyDescent="0.3">
      <c r="A70" s="15"/>
      <c r="B70" s="42" t="s">
        <v>95</v>
      </c>
      <c r="C70" s="43">
        <f>C54</f>
        <v>0</v>
      </c>
      <c r="D70" s="43">
        <f>D54</f>
        <v>0</v>
      </c>
      <c r="E70" s="44">
        <f>C70-D70</f>
        <v>0</v>
      </c>
      <c r="F70" s="15"/>
    </row>
    <row r="71" spans="1:6" x14ac:dyDescent="0.3">
      <c r="A71" s="15"/>
      <c r="B71" s="42" t="s">
        <v>96</v>
      </c>
      <c r="C71" s="43">
        <f>C64</f>
        <v>0</v>
      </c>
      <c r="D71" s="43">
        <f>D64</f>
        <v>0</v>
      </c>
      <c r="E71" s="44">
        <f>C71-D71</f>
        <v>0</v>
      </c>
      <c r="F71" s="15"/>
    </row>
    <row r="72" spans="1:6" ht="27.75" customHeight="1" x14ac:dyDescent="0.3">
      <c r="A72" s="15"/>
      <c r="B72" s="45" t="s">
        <v>42</v>
      </c>
      <c r="C72" s="46">
        <f>C68-C69-C70-C71</f>
        <v>0</v>
      </c>
      <c r="D72" s="46">
        <f>D68-D69-D70-D71</f>
        <v>0</v>
      </c>
      <c r="E72" s="46">
        <f>C72-D72</f>
        <v>0</v>
      </c>
      <c r="F72" s="15"/>
    </row>
    <row r="73" spans="1:6" x14ac:dyDescent="0.3">
      <c r="A73" s="15"/>
      <c r="B73" s="15"/>
      <c r="C73" s="15"/>
      <c r="D73" s="15"/>
      <c r="E73" s="15"/>
      <c r="F73" s="15"/>
    </row>
    <row r="74" spans="1:6" ht="31.5" customHeight="1" x14ac:dyDescent="0.3">
      <c r="A74" s="15"/>
      <c r="B74" s="3" t="s">
        <v>98</v>
      </c>
      <c r="C74" s="3"/>
      <c r="D74" s="3"/>
      <c r="E74" s="3"/>
      <c r="F74" s="15"/>
    </row>
    <row r="75" spans="1:6" x14ac:dyDescent="0.3">
      <c r="A75" s="15"/>
      <c r="B75" s="15"/>
      <c r="C75" s="15"/>
      <c r="D75" s="15"/>
      <c r="E75" s="15"/>
      <c r="F75" s="15"/>
    </row>
    <row r="76" spans="1:6" x14ac:dyDescent="0.3">
      <c r="A76" s="15"/>
      <c r="B76" s="2" t="s">
        <v>55</v>
      </c>
      <c r="C76" s="2"/>
      <c r="D76" s="2"/>
      <c r="E76" s="2"/>
      <c r="F76" s="15"/>
    </row>
    <row r="77" spans="1:6" x14ac:dyDescent="0.3">
      <c r="A77" s="15"/>
      <c r="B77" s="15"/>
      <c r="C77" s="15"/>
      <c r="D77" s="15"/>
      <c r="E77" s="15"/>
      <c r="F77" s="15"/>
    </row>
    <row r="78" spans="1:6" x14ac:dyDescent="0.3">
      <c r="A78" s="15"/>
      <c r="B78" s="15"/>
      <c r="C78" s="15"/>
      <c r="D78" s="15"/>
      <c r="E78" s="15"/>
      <c r="F78" s="15"/>
    </row>
  </sheetData>
  <mergeCells count="10">
    <mergeCell ref="B38:E38"/>
    <mergeCell ref="B56:E56"/>
    <mergeCell ref="B67:E67"/>
    <mergeCell ref="B74:E74"/>
    <mergeCell ref="B76:E76"/>
    <mergeCell ref="B2:E2"/>
    <mergeCell ref="B3:E3"/>
    <mergeCell ref="B4:E4"/>
    <mergeCell ref="B7:E7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"/>
  <sheetViews>
    <sheetView showGridLines="0" zoomScaleNormal="100" workbookViewId="0"/>
  </sheetViews>
  <sheetFormatPr baseColWidth="10" defaultColWidth="8.6640625" defaultRowHeight="14.4" x14ac:dyDescent="0.3"/>
  <cols>
    <col min="1" max="1" width="3" customWidth="1"/>
    <col min="2" max="2" width="28" customWidth="1"/>
    <col min="3" max="6" width="14" customWidth="1"/>
    <col min="7" max="7" width="26" customWidth="1"/>
    <col min="8" max="8" width="3" customWidth="1"/>
  </cols>
  <sheetData>
    <row r="1" spans="1:8" x14ac:dyDescent="0.3">
      <c r="A1" s="15"/>
      <c r="B1" s="15"/>
      <c r="C1" s="15"/>
      <c r="D1" s="15"/>
      <c r="E1" s="15"/>
      <c r="F1" s="15"/>
      <c r="G1" s="15"/>
      <c r="H1" s="15"/>
    </row>
    <row r="2" spans="1:8" ht="33.75" customHeight="1" x14ac:dyDescent="0.3">
      <c r="A2" s="15"/>
      <c r="B2" s="8" t="s">
        <v>110</v>
      </c>
      <c r="C2" s="8"/>
      <c r="D2" s="8"/>
      <c r="E2" s="8"/>
      <c r="F2" s="8"/>
      <c r="G2" s="8"/>
      <c r="H2" s="15"/>
    </row>
    <row r="3" spans="1:8" ht="19.5" customHeight="1" x14ac:dyDescent="0.3">
      <c r="A3" s="15"/>
      <c r="B3" s="7" t="s">
        <v>111</v>
      </c>
      <c r="C3" s="7"/>
      <c r="D3" s="7"/>
      <c r="E3" s="7"/>
      <c r="F3" s="7"/>
      <c r="G3" s="7"/>
      <c r="H3" s="15"/>
    </row>
    <row r="4" spans="1:8" ht="3.75" customHeight="1" x14ac:dyDescent="0.3">
      <c r="A4" s="15"/>
      <c r="B4" s="12"/>
      <c r="C4" s="12"/>
      <c r="D4" s="12"/>
      <c r="E4" s="12"/>
      <c r="F4" s="12"/>
      <c r="G4" s="12"/>
      <c r="H4" s="15"/>
    </row>
    <row r="5" spans="1:8" x14ac:dyDescent="0.3">
      <c r="A5" s="15"/>
      <c r="B5" s="15"/>
      <c r="C5" s="15"/>
      <c r="D5" s="15"/>
      <c r="E5" s="15"/>
      <c r="F5" s="15"/>
      <c r="G5" s="15"/>
      <c r="H5" s="15"/>
    </row>
    <row r="6" spans="1:8" ht="24" customHeight="1" x14ac:dyDescent="0.3">
      <c r="A6" s="15"/>
      <c r="B6" s="16" t="s">
        <v>112</v>
      </c>
      <c r="C6" s="25" t="s">
        <v>113</v>
      </c>
      <c r="D6" s="25" t="s">
        <v>114</v>
      </c>
      <c r="E6" s="25" t="s">
        <v>115</v>
      </c>
      <c r="F6" s="25" t="s">
        <v>116</v>
      </c>
      <c r="G6" s="16" t="s">
        <v>117</v>
      </c>
      <c r="H6" s="15"/>
    </row>
    <row r="7" spans="1:8" ht="24" customHeight="1" x14ac:dyDescent="0.3">
      <c r="A7" s="15"/>
      <c r="B7" s="47" t="s">
        <v>118</v>
      </c>
      <c r="C7" s="48">
        <v>2500</v>
      </c>
      <c r="D7" s="48">
        <v>800</v>
      </c>
      <c r="E7" s="49">
        <f t="shared" ref="E7:E18" si="0">IFERROR(C7-D7,0)</f>
        <v>1700</v>
      </c>
      <c r="F7" s="50">
        <f t="shared" ref="F7:F18" si="1">IFERROR(IF(C7=0,0,D7/C7),0)</f>
        <v>0.32</v>
      </c>
      <c r="G7" s="51" t="s">
        <v>119</v>
      </c>
      <c r="H7" s="15"/>
    </row>
    <row r="8" spans="1:8" ht="24" customHeight="1" x14ac:dyDescent="0.3">
      <c r="A8" s="15"/>
      <c r="B8" s="52" t="s">
        <v>84</v>
      </c>
      <c r="C8" s="53">
        <v>6000</v>
      </c>
      <c r="D8" s="53">
        <v>2400</v>
      </c>
      <c r="E8" s="54">
        <f t="shared" si="0"/>
        <v>3600</v>
      </c>
      <c r="F8" s="55">
        <f t="shared" si="1"/>
        <v>0.4</v>
      </c>
      <c r="G8" s="56" t="s">
        <v>120</v>
      </c>
      <c r="H8" s="15"/>
    </row>
    <row r="9" spans="1:8" ht="24" customHeight="1" x14ac:dyDescent="0.3">
      <c r="A9" s="15"/>
      <c r="B9" s="47" t="s">
        <v>121</v>
      </c>
      <c r="C9" s="48">
        <v>15000</v>
      </c>
      <c r="D9" s="48">
        <v>3200</v>
      </c>
      <c r="E9" s="49">
        <f t="shared" si="0"/>
        <v>11800</v>
      </c>
      <c r="F9" s="50">
        <f t="shared" si="1"/>
        <v>0.21333333333333335</v>
      </c>
      <c r="G9" s="51" t="s">
        <v>122</v>
      </c>
      <c r="H9" s="15"/>
    </row>
    <row r="10" spans="1:8" ht="24" customHeight="1" x14ac:dyDescent="0.3">
      <c r="A10" s="15"/>
      <c r="B10" s="52" t="s">
        <v>123</v>
      </c>
      <c r="C10" s="53">
        <v>8000</v>
      </c>
      <c r="D10" s="53">
        <v>1500</v>
      </c>
      <c r="E10" s="54">
        <f t="shared" si="0"/>
        <v>6500</v>
      </c>
      <c r="F10" s="55">
        <f t="shared" si="1"/>
        <v>0.1875</v>
      </c>
      <c r="G10" s="56" t="s">
        <v>124</v>
      </c>
      <c r="H10" s="15"/>
    </row>
    <row r="11" spans="1:8" ht="24" customHeight="1" x14ac:dyDescent="0.3">
      <c r="A11" s="15"/>
      <c r="B11" s="47" t="s">
        <v>125</v>
      </c>
      <c r="C11" s="48">
        <v>12000</v>
      </c>
      <c r="D11" s="48">
        <v>4500</v>
      </c>
      <c r="E11" s="49">
        <f t="shared" si="0"/>
        <v>7500</v>
      </c>
      <c r="F11" s="50">
        <f t="shared" si="1"/>
        <v>0.375</v>
      </c>
      <c r="G11" s="51" t="s">
        <v>126</v>
      </c>
      <c r="H11" s="15"/>
    </row>
    <row r="12" spans="1:8" ht="24" customHeight="1" x14ac:dyDescent="0.3">
      <c r="A12" s="15"/>
      <c r="B12" s="52" t="s">
        <v>127</v>
      </c>
      <c r="C12" s="53">
        <v>1500</v>
      </c>
      <c r="D12" s="53">
        <v>300</v>
      </c>
      <c r="E12" s="54">
        <f t="shared" si="0"/>
        <v>1200</v>
      </c>
      <c r="F12" s="55">
        <f t="shared" si="1"/>
        <v>0.2</v>
      </c>
      <c r="G12" s="56" t="s">
        <v>128</v>
      </c>
      <c r="H12" s="15"/>
    </row>
    <row r="13" spans="1:8" ht="24" customHeight="1" x14ac:dyDescent="0.3">
      <c r="A13" s="15"/>
      <c r="B13" s="57"/>
      <c r="C13" s="48"/>
      <c r="D13" s="48"/>
      <c r="E13" s="49">
        <f t="shared" si="0"/>
        <v>0</v>
      </c>
      <c r="F13" s="50">
        <f t="shared" si="1"/>
        <v>0</v>
      </c>
      <c r="G13" s="51"/>
      <c r="H13" s="15"/>
    </row>
    <row r="14" spans="1:8" ht="24" customHeight="1" x14ac:dyDescent="0.3">
      <c r="A14" s="15"/>
      <c r="B14" s="58"/>
      <c r="C14" s="53"/>
      <c r="D14" s="53"/>
      <c r="E14" s="54">
        <f t="shared" si="0"/>
        <v>0</v>
      </c>
      <c r="F14" s="55">
        <f t="shared" si="1"/>
        <v>0</v>
      </c>
      <c r="G14" s="56"/>
      <c r="H14" s="15"/>
    </row>
    <row r="15" spans="1:8" ht="24" customHeight="1" x14ac:dyDescent="0.3">
      <c r="A15" s="15"/>
      <c r="B15" s="57"/>
      <c r="C15" s="48"/>
      <c r="D15" s="48"/>
      <c r="E15" s="49">
        <f t="shared" si="0"/>
        <v>0</v>
      </c>
      <c r="F15" s="50">
        <f t="shared" si="1"/>
        <v>0</v>
      </c>
      <c r="G15" s="51"/>
      <c r="H15" s="15"/>
    </row>
    <row r="16" spans="1:8" ht="24" customHeight="1" x14ac:dyDescent="0.3">
      <c r="A16" s="15"/>
      <c r="B16" s="58"/>
      <c r="C16" s="53"/>
      <c r="D16" s="53"/>
      <c r="E16" s="54">
        <f t="shared" si="0"/>
        <v>0</v>
      </c>
      <c r="F16" s="55">
        <f t="shared" si="1"/>
        <v>0</v>
      </c>
      <c r="G16" s="56"/>
      <c r="H16" s="15"/>
    </row>
    <row r="17" spans="1:8" ht="24" customHeight="1" x14ac:dyDescent="0.3">
      <c r="A17" s="15"/>
      <c r="B17" s="57"/>
      <c r="C17" s="48"/>
      <c r="D17" s="48"/>
      <c r="E17" s="49">
        <f t="shared" si="0"/>
        <v>0</v>
      </c>
      <c r="F17" s="50">
        <f t="shared" si="1"/>
        <v>0</v>
      </c>
      <c r="G17" s="51"/>
      <c r="H17" s="15"/>
    </row>
    <row r="18" spans="1:8" ht="24" customHeight="1" x14ac:dyDescent="0.3">
      <c r="A18" s="15"/>
      <c r="B18" s="58"/>
      <c r="C18" s="53"/>
      <c r="D18" s="53"/>
      <c r="E18" s="54">
        <f t="shared" si="0"/>
        <v>0</v>
      </c>
      <c r="F18" s="55">
        <f t="shared" si="1"/>
        <v>0</v>
      </c>
      <c r="G18" s="56"/>
      <c r="H18" s="15"/>
    </row>
    <row r="19" spans="1:8" x14ac:dyDescent="0.3">
      <c r="A19" s="15"/>
      <c r="B19" s="15"/>
      <c r="C19" s="15"/>
      <c r="D19" s="15"/>
      <c r="E19" s="15"/>
      <c r="F19" s="15"/>
      <c r="G19" s="15"/>
      <c r="H19" s="15"/>
    </row>
    <row r="20" spans="1:8" x14ac:dyDescent="0.3">
      <c r="A20" s="15"/>
      <c r="B20" s="15"/>
      <c r="C20" s="15"/>
      <c r="D20" s="15"/>
      <c r="E20" s="15"/>
      <c r="F20" s="15"/>
      <c r="G20" s="15"/>
      <c r="H20" s="15"/>
    </row>
    <row r="21" spans="1:8" ht="25.5" customHeight="1" x14ac:dyDescent="0.3">
      <c r="A21" s="15"/>
      <c r="B21" s="4" t="s">
        <v>129</v>
      </c>
      <c r="C21" s="4"/>
      <c r="D21" s="4"/>
      <c r="E21" s="4"/>
      <c r="F21" s="4"/>
      <c r="G21" s="4"/>
      <c r="H21" s="15"/>
    </row>
    <row r="22" spans="1:8" x14ac:dyDescent="0.3">
      <c r="A22" s="15"/>
      <c r="B22" s="15"/>
      <c r="C22" s="15"/>
      <c r="D22" s="15"/>
      <c r="E22" s="15"/>
      <c r="F22" s="15"/>
      <c r="G22" s="15"/>
      <c r="H22" s="15"/>
    </row>
    <row r="23" spans="1:8" x14ac:dyDescent="0.3">
      <c r="A23" s="15"/>
      <c r="B23" s="2" t="s">
        <v>55</v>
      </c>
      <c r="C23" s="2"/>
      <c r="D23" s="2"/>
      <c r="E23" s="2"/>
      <c r="F23" s="2"/>
      <c r="G23" s="2"/>
      <c r="H23" s="15"/>
    </row>
    <row r="24" spans="1:8" x14ac:dyDescent="0.3">
      <c r="A24" s="15"/>
      <c r="B24" s="15"/>
      <c r="C24" s="15"/>
      <c r="D24" s="15"/>
      <c r="E24" s="15"/>
      <c r="F24" s="15"/>
      <c r="G24" s="15"/>
      <c r="H24" s="15"/>
    </row>
    <row r="25" spans="1:8" x14ac:dyDescent="0.3">
      <c r="A25" s="15"/>
      <c r="B25" s="15"/>
      <c r="C25" s="15"/>
      <c r="D25" s="15"/>
      <c r="E25" s="15"/>
      <c r="F25" s="15"/>
      <c r="G25" s="15"/>
      <c r="H25" s="15"/>
    </row>
  </sheetData>
  <mergeCells count="5">
    <mergeCell ref="B2:G2"/>
    <mergeCell ref="B3:G3"/>
    <mergeCell ref="B4:G4"/>
    <mergeCell ref="B21:G21"/>
    <mergeCell ref="B23:G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Mode d'emploi</vt:lpstr>
      <vt:lpstr>Synthèse annuelle</vt:lpstr>
      <vt:lpstr>Transactions</vt:lpstr>
      <vt:lpstr>_Listes</vt:lpstr>
      <vt:lpstr>Janvier</vt:lpstr>
      <vt:lpstr>Février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Décembre</vt:lpstr>
      <vt:lpstr>Mes objectifs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Charlène CAVAILLES</cp:lastModifiedBy>
  <cp:revision>1</cp:revision>
  <dcterms:created xsi:type="dcterms:W3CDTF">2026-04-09T02:51:40Z</dcterms:created>
  <dcterms:modified xsi:type="dcterms:W3CDTF">2026-04-09T14:35:28Z</dcterms:modified>
  <dc:language>en-US</dc:language>
</cp:coreProperties>
</file>